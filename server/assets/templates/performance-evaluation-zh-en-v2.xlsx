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200" tabRatio="600" firstSheet="0" activeTab="0" autoFilterDateGrouping="1"/>
  </bookViews>
  <sheets>
    <sheet xmlns:r="http://schemas.openxmlformats.org/officeDocument/2006/relationships" name="绩效评分表 Evalu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b val="1"/>
      <color rgb="FFFFFFFF"/>
      <sz val="14"/>
    </font>
    <font>
      <name val="微软雅黑"/>
      <charset val="134"/>
      <i val="1"/>
      <color rgb="FFFFFFFF"/>
      <sz val="8"/>
    </font>
    <font>
      <name val="微软雅黑"/>
      <charset val="134"/>
      <b val="1"/>
      <color rgb="FFFFFFFF"/>
      <sz val="11"/>
    </font>
    <font>
      <name val="微软雅黑"/>
      <charset val="134"/>
      <b val="1"/>
      <color rgb="FF1A1A1A"/>
      <sz val="9"/>
    </font>
    <font>
      <name val="微软雅黑"/>
      <charset val="134"/>
      <b val="1"/>
      <color rgb="FFFFFFFF"/>
      <sz val="9"/>
    </font>
    <font>
      <name val="微软雅黑"/>
      <charset val="134"/>
      <color rgb="FF1A1A1A"/>
      <sz val="8"/>
    </font>
    <font>
      <name val="微软雅黑"/>
      <charset val="134"/>
      <color rgb="FF0000FF"/>
      <sz val="10"/>
    </font>
    <font>
      <name val="微软雅黑"/>
      <charset val="134"/>
      <b val="1"/>
      <color rgb="FF1A1A1A"/>
      <sz val="10"/>
    </font>
    <font>
      <name val="微软雅黑"/>
      <charset val="134"/>
      <b val="1"/>
      <color rgb="FF1A1A1A"/>
      <sz val="8"/>
    </font>
    <font>
      <name val="微软雅黑"/>
      <charset val="134"/>
      <b val="1"/>
      <color rgb="FFC00000"/>
      <sz val="10"/>
    </font>
    <font>
      <name val="微软雅黑"/>
      <charset val="134"/>
      <i val="1"/>
      <color rgb="FFC00000"/>
      <sz val="8"/>
    </font>
    <font>
      <name val="微软雅黑"/>
      <charset val="134"/>
      <b val="1"/>
      <color rgb="FFFFFFFF"/>
      <sz val="10"/>
    </font>
    <font>
      <name val="微软雅黑"/>
      <charset val="134"/>
      <b val="1"/>
      <color rgb="FFFFFFFF"/>
      <sz val="12"/>
    </font>
    <font>
      <name val="微软雅黑"/>
      <charset val="134"/>
      <i val="1"/>
      <color rgb="FF808080"/>
      <sz val="8"/>
    </font>
    <font>
      <name val="微软雅黑"/>
      <charset val="134"/>
      <i val="1"/>
      <color rgb="FF1A1A1A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color theme="1"/>
      <sz val="11"/>
    </font>
    <font>
      <name val="Noto Sans CJK SC"/>
      <charset val="134"/>
      <b val="1"/>
      <color rgb="FF1A1A1A"/>
      <sz val="9"/>
    </font>
    <font>
      <name val="宋体"/>
      <charset val="134"/>
      <b val="1"/>
      <color rgb="FF1A1A1A"/>
      <sz val="9"/>
    </font>
  </fonts>
  <fills count="38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5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6" applyAlignment="1">
      <alignment vertical="center"/>
    </xf>
    <xf numFmtId="0" fontId="24" fillId="0" borderId="7" applyAlignment="1">
      <alignment vertical="center"/>
    </xf>
    <xf numFmtId="0" fontId="24" fillId="0" borderId="0" applyAlignment="1">
      <alignment vertical="center"/>
    </xf>
    <xf numFmtId="0" fontId="25" fillId="8" borderId="8" applyAlignment="1">
      <alignment vertical="center"/>
    </xf>
    <xf numFmtId="0" fontId="26" fillId="9" borderId="9" applyAlignment="1">
      <alignment vertical="center"/>
    </xf>
    <xf numFmtId="0" fontId="27" fillId="9" borderId="8" applyAlignment="1">
      <alignment vertical="center"/>
    </xf>
    <xf numFmtId="0" fontId="28" fillId="10" borderId="10" applyAlignment="1">
      <alignment vertical="center"/>
    </xf>
    <xf numFmtId="0" fontId="29" fillId="0" borderId="11" applyAlignment="1">
      <alignment vertical="center"/>
    </xf>
    <xf numFmtId="0" fontId="30" fillId="0" borderId="12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5" fillId="27" borderId="0" applyAlignment="1">
      <alignment vertical="center"/>
    </xf>
    <xf numFmtId="0" fontId="35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5" fillId="31" borderId="0" applyAlignment="1">
      <alignment vertical="center"/>
    </xf>
    <xf numFmtId="0" fontId="35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5" fillId="35" borderId="0" applyAlignment="1">
      <alignment vertical="center"/>
    </xf>
    <xf numFmtId="0" fontId="35" fillId="36" borderId="0" applyAlignment="1">
      <alignment vertical="center"/>
    </xf>
    <xf numFmtId="0" fontId="34" fillId="37" borderId="0" applyAlignment="1">
      <alignment vertical="center"/>
    </xf>
    <xf numFmtId="0" fontId="36" fillId="0" borderId="0"/>
  </cellStyleXfs>
  <cellXfs count="42">
    <xf numFmtId="0" fontId="0" fillId="0" borderId="0" applyAlignment="1" pivotButton="0" quotePrefix="0" xfId="0">
      <alignment vertical="center"/>
    </xf>
    <xf numFmtId="0" fontId="1" fillId="0" borderId="0" pivotButton="0" quotePrefix="0" xfId="49"/>
    <xf numFmtId="0" fontId="1" fillId="0" borderId="0" pivotButton="0" quotePrefix="0" xfId="49"/>
    <xf numFmtId="0" fontId="2" fillId="2" borderId="0" applyAlignment="1" pivotButton="0" quotePrefix="0" xfId="49">
      <alignment horizontal="center" vertical="center" wrapText="1"/>
    </xf>
    <xf numFmtId="0" fontId="3" fillId="3" borderId="0" applyAlignment="1" pivotButton="0" quotePrefix="0" xfId="49">
      <alignment horizontal="center" vertical="center" wrapText="1"/>
    </xf>
    <xf numFmtId="0" fontId="4" fillId="3" borderId="0" applyAlignment="1" pivotButton="0" quotePrefix="0" xfId="49">
      <alignment horizontal="left" vertical="center" wrapText="1"/>
    </xf>
    <xf numFmtId="0" fontId="5" fillId="4" borderId="1" applyAlignment="1" pivotButton="0" quotePrefix="0" xfId="49">
      <alignment horizontal="left" vertical="center" wrapText="1"/>
    </xf>
    <xf numFmtId="0" fontId="1" fillId="5" borderId="1" applyAlignment="1" pivotButton="0" quotePrefix="0" xfId="49">
      <alignment horizontal="left" vertical="center" wrapText="1"/>
    </xf>
    <xf numFmtId="0" fontId="6" fillId="3" borderId="1" applyAlignment="1" pivotButton="0" quotePrefix="0" xfId="49">
      <alignment horizontal="center" vertical="center" wrapText="1"/>
    </xf>
    <xf numFmtId="0" fontId="5" fillId="0" borderId="2" applyAlignment="1" pivotButton="0" quotePrefix="0" xfId="49">
      <alignment horizontal="center" vertical="center" wrapText="1"/>
    </xf>
    <xf numFmtId="0" fontId="5" fillId="0" borderId="2" applyAlignment="1" pivotButton="0" quotePrefix="0" xfId="49">
      <alignment horizontal="left" vertical="center" wrapText="1"/>
    </xf>
    <xf numFmtId="0" fontId="7" fillId="0" borderId="1" applyAlignment="1" pivotButton="0" quotePrefix="0" xfId="49">
      <alignment horizontal="left" vertical="center" wrapText="1"/>
    </xf>
    <xf numFmtId="9" fontId="8" fillId="5" borderId="1" applyAlignment="1" pivotButton="0" quotePrefix="0" xfId="49">
      <alignment horizontal="center" vertical="center" wrapText="1"/>
    </xf>
    <xf numFmtId="0" fontId="8" fillId="5" borderId="1" applyAlignment="1" pivotButton="0" quotePrefix="0" xfId="49">
      <alignment horizontal="center" vertical="center" wrapText="1"/>
    </xf>
    <xf numFmtId="0" fontId="9" fillId="4" borderId="1" applyAlignment="1" pivotButton="0" quotePrefix="0" xfId="49">
      <alignment horizontal="center" vertical="center" wrapText="1"/>
    </xf>
    <xf numFmtId="0" fontId="7" fillId="5" borderId="1" applyAlignment="1" pivotButton="0" quotePrefix="0" xfId="49">
      <alignment horizontal="left" vertical="center" wrapText="1"/>
    </xf>
    <xf numFmtId="0" fontId="5" fillId="0" borderId="3" applyAlignment="1" pivotButton="0" quotePrefix="0" xfId="49">
      <alignment horizontal="center" vertical="center" wrapText="1"/>
    </xf>
    <xf numFmtId="0" fontId="5" fillId="0" borderId="3" applyAlignment="1" pivotButton="0" quotePrefix="0" xfId="49">
      <alignment horizontal="left" vertical="center" wrapText="1"/>
    </xf>
    <xf numFmtId="0" fontId="5" fillId="6" borderId="1" applyAlignment="1" pivotButton="0" quotePrefix="0" xfId="49">
      <alignment horizontal="center" vertical="center" wrapText="1"/>
    </xf>
    <xf numFmtId="0" fontId="10" fillId="6" borderId="1" applyAlignment="1" pivotButton="0" quotePrefix="0" xfId="49">
      <alignment horizontal="left" vertical="center" wrapText="1"/>
    </xf>
    <xf numFmtId="0" fontId="7" fillId="6" borderId="1" applyAlignment="1" pivotButton="0" quotePrefix="0" xfId="49">
      <alignment horizontal="left" vertical="center" wrapText="1"/>
    </xf>
    <xf numFmtId="0" fontId="5" fillId="6" borderId="1" applyAlignment="1" pivotButton="0" quotePrefix="0" xfId="49">
      <alignment horizontal="left" vertical="center" wrapText="1"/>
    </xf>
    <xf numFmtId="0" fontId="1" fillId="4" borderId="1" pivotButton="0" quotePrefix="0" xfId="49"/>
    <xf numFmtId="0" fontId="5" fillId="4" borderId="1" applyAlignment="1" pivotButton="0" quotePrefix="0" xfId="49">
      <alignment horizontal="right" vertical="center" wrapText="1"/>
    </xf>
    <xf numFmtId="0" fontId="11" fillId="4" borderId="1" applyAlignment="1" pivotButton="0" quotePrefix="0" xfId="49">
      <alignment horizontal="center" vertical="center" wrapText="1"/>
    </xf>
    <xf numFmtId="0" fontId="12" fillId="4" borderId="1" applyAlignment="1" pivotButton="0" quotePrefix="0" xfId="49">
      <alignment horizontal="left" vertical="center" wrapText="1"/>
    </xf>
    <xf numFmtId="0" fontId="1" fillId="3" borderId="1" pivotButton="0" quotePrefix="0" xfId="49"/>
    <xf numFmtId="0" fontId="13" fillId="3" borderId="4" applyAlignment="1" pivotButton="0" quotePrefix="0" xfId="49">
      <alignment horizontal="right" vertical="center" wrapText="1"/>
    </xf>
    <xf numFmtId="0" fontId="14" fillId="3" borderId="1" applyAlignment="1" pivotButton="0" quotePrefix="0" xfId="49">
      <alignment horizontal="center" vertical="center" wrapText="1"/>
    </xf>
    <xf numFmtId="0" fontId="5" fillId="4" borderId="4" applyAlignment="1" pivotButton="0" quotePrefix="0" xfId="49">
      <alignment horizontal="right" vertical="center" wrapText="1"/>
    </xf>
    <xf numFmtId="0" fontId="1" fillId="2" borderId="1" pivotButton="0" quotePrefix="0" xfId="49"/>
    <xf numFmtId="0" fontId="4" fillId="2" borderId="4" applyAlignment="1" pivotButton="0" quotePrefix="0" xfId="49">
      <alignment horizontal="right" vertical="center" wrapText="1"/>
    </xf>
    <xf numFmtId="0" fontId="4" fillId="2" borderId="1" applyAlignment="1" pivotButton="0" quotePrefix="0" xfId="49">
      <alignment horizontal="center" vertical="center" wrapText="1"/>
    </xf>
    <xf numFmtId="0" fontId="15" fillId="5" borderId="1" applyAlignment="1" pivotButton="0" quotePrefix="0" xfId="49">
      <alignment horizontal="left" vertical="center" wrapText="1"/>
    </xf>
    <xf numFmtId="0" fontId="16" fillId="6" borderId="4" applyAlignment="1" pivotButton="0" quotePrefix="0" xfId="49">
      <alignment horizontal="left" vertical="center" wrapText="1"/>
    </xf>
    <xf numFmtId="0" fontId="5" fillId="4" borderId="1" applyAlignment="1" pivotButton="0" quotePrefix="0" xfId="49">
      <alignment horizontal="center" vertical="center" wrapText="1"/>
    </xf>
    <xf numFmtId="0" fontId="1" fillId="6" borderId="1" pivotButton="0" quotePrefix="0" xfId="49"/>
    <xf numFmtId="0" fontId="15" fillId="6" borderId="0" applyAlignment="1" pivotButton="0" quotePrefix="0" xfId="49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3" pivotButton="0" quotePrefix="0" xfId="0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zoomScale="47" zoomScaleNormal="47" workbookViewId="0">
      <selection activeCell="C11" sqref="C11"/>
    </sheetView>
  </sheetViews>
  <sheetFormatPr baseColWidth="8" defaultColWidth="8.68181818181818" defaultRowHeight="16.5"/>
  <cols>
    <col width="4" customWidth="1" style="2" min="1" max="1"/>
    <col width="26" customWidth="1" style="2" min="2" max="2"/>
    <col width="40" customWidth="1" style="2" min="3" max="3"/>
    <col width="9" customWidth="1" style="2" min="4" max="5"/>
    <col width="10" customWidth="1" style="2" min="6" max="6"/>
    <col width="11" customWidth="1" style="2" min="7" max="7"/>
    <col width="30" customWidth="1" style="2" min="8" max="8"/>
    <col width="8.68181818181818" customWidth="1" style="2" min="9" max="16384"/>
  </cols>
  <sheetData>
    <row r="1" ht="36" customFormat="1" customHeight="1" s="2">
      <c r="A1" s="3" t="inlineStr">
        <is>
          <t>属地员工绩效评分表  /  Performance Evaluation Form</t>
        </is>
      </c>
    </row>
    <row r="2" ht="25.5" customFormat="1" customHeight="1" s="2">
      <c r="A2" s="4" t="inlineStr">
        <is>
          <t>每项 1–100 分，按权重加权为百分制总分，自动换算 1–5 分对应 A–E · 先自评后主管评 · 结果用于发展，非自动解雇
Each item scored 1–100, weighted to a 100-point total and converted to 1–5 (A–E) · Self-assessment first, then manager · Development-oriented, not automatic dismissal</t>
        </is>
      </c>
    </row>
    <row r="4" ht="19.5" customFormat="1" customHeight="1" s="2">
      <c r="A4" s="5" t="inlineStr">
        <is>
          <t>一、被评价人信息  /  Employee Information</t>
        </is>
      </c>
    </row>
    <row r="5" ht="25.5" customFormat="1" customHeight="1" s="2">
      <c r="A5" s="6" t="inlineStr">
        <is>
          <t>姓名 / Name</t>
        </is>
      </c>
      <c r="B5" s="38" t="n"/>
      <c r="C5" s="7" t="n"/>
      <c r="D5" s="6" t="inlineStr">
        <is>
          <t>岗位 / Position</t>
        </is>
      </c>
      <c r="E5" s="39" t="n"/>
      <c r="F5" s="38" t="n"/>
      <c r="G5" s="7" t="n"/>
      <c r="H5" s="38" t="n"/>
    </row>
    <row r="6" ht="25.5" customFormat="1" customHeight="1" s="2">
      <c r="A6" s="6" t="inlineStr">
        <is>
          <t>工号 / ID</t>
        </is>
      </c>
      <c r="B6" s="38" t="n"/>
      <c r="C6" s="7" t="n"/>
      <c r="D6" s="6" t="inlineStr">
        <is>
          <t>直属主管 / Line Manager</t>
        </is>
      </c>
      <c r="E6" s="39" t="n"/>
      <c r="F6" s="38" t="n"/>
      <c r="G6" s="7" t="n"/>
      <c r="H6" s="38" t="n"/>
    </row>
    <row r="7" ht="25.5" customFormat="1" customHeight="1" s="2">
      <c r="A7" s="6" t="inlineStr">
        <is>
          <t>部门 / Department</t>
        </is>
      </c>
      <c r="B7" s="38" t="n"/>
      <c r="C7" s="7" t="n"/>
      <c r="D7" s="6" t="inlineStr">
        <is>
          <t>职级 / Level</t>
        </is>
      </c>
      <c r="E7" s="39" t="n"/>
      <c r="F7" s="38" t="n"/>
      <c r="G7" s="7" t="n"/>
      <c r="H7" s="38" t="n"/>
    </row>
    <row r="8" ht="25.5" customFormat="1" customHeight="1" s="2">
      <c r="A8" s="6" t="inlineStr">
        <is>
          <t>评价周期 / Review Period</t>
        </is>
      </c>
      <c r="B8" s="38" t="n"/>
      <c r="C8" s="7" t="n"/>
      <c r="D8" s="6" t="inlineStr">
        <is>
          <t>评价日期 / Date</t>
        </is>
      </c>
      <c r="E8" s="39" t="n"/>
      <c r="F8" s="38" t="n"/>
      <c r="G8" s="7" t="n"/>
      <c r="H8" s="38" t="n"/>
    </row>
    <row r="9" ht="19.5" customFormat="1" customHeight="1" s="2">
      <c r="A9" s="5" t="inlineStr">
        <is>
          <t>二、绩效评分（权重合计=100）/  Performance Scoring (weights total = 100)</t>
        </is>
      </c>
    </row>
    <row r="10" ht="30" customFormat="1" customHeight="1" s="2">
      <c r="A10" s="8" t="inlineStr">
        <is>
          <t>No.</t>
        </is>
      </c>
      <c r="B10" s="8" t="inlineStr">
        <is>
          <t>评价维度
Dimension</t>
        </is>
      </c>
      <c r="C10" s="8" t="inlineStr">
        <is>
          <t>客观衡量标准 / 证据要点
Objective criteria / evidence</t>
        </is>
      </c>
      <c r="D10" s="8" t="inlineStr">
        <is>
          <t>权重%
Weight</t>
        </is>
      </c>
      <c r="E10" s="8" t="inlineStr">
        <is>
          <t>自评
Self</t>
        </is>
      </c>
      <c r="F10" s="8" t="inlineStr">
        <is>
          <t>主管
Manager</t>
        </is>
      </c>
      <c r="G10" s="8" t="inlineStr">
        <is>
          <t>加权得分
Weighted</t>
        </is>
      </c>
      <c r="H10" s="8" t="inlineStr">
        <is>
          <t>证据与说明
Evidence / Comments</t>
        </is>
      </c>
    </row>
    <row r="11" ht="69" customFormat="1" customHeight="1" s="2">
      <c r="A11" s="9" t="n">
        <v>1</v>
      </c>
      <c r="B11" s="10" t="inlineStr">
        <is>
          <t>业绩与目标达成
Performance &amp; goal achievement</t>
        </is>
      </c>
      <c r="C11" s="11" t="inlineStr">
        <is>
          <t>关键任务/目标的完成度与结果（可参考部门KPI库）
Completion and results of key tasks/goals (see department KPI library) 研究院长制定 可从4P（产品）模块制定</t>
        </is>
      </c>
      <c r="D11" s="13" t="n">
        <v>20</v>
      </c>
      <c r="E11" s="13" t="n"/>
      <c r="F11" s="13" t="n"/>
      <c r="G11" s="14">
        <f>IF($F11="","",ROUND($D11*$F11/100,1))</f>
        <v/>
      </c>
      <c r="H11" s="15" t="n"/>
    </row>
    <row r="12" ht="52" customFormat="1" customHeight="1" s="2">
      <c r="A12" s="40" t="n"/>
      <c r="B12" s="40" t="n"/>
      <c r="C12" s="11" t="inlineStr">
        <is>
          <t>关键任务/目标的完成度与结果（可参考部门KPI库）
Completion and results of key tasks/goals (see department KPI library) 研究院长制定 可从4P（适应性验证）模块制定</t>
        </is>
      </c>
      <c r="D12" s="13" t="n">
        <v>20</v>
      </c>
      <c r="E12" s="13" t="n"/>
      <c r="F12" s="13" t="n"/>
      <c r="G12" s="14">
        <f>IF($F12="","",ROUND($D12*$F12/100,1))</f>
        <v/>
      </c>
      <c r="H12" s="15" t="n"/>
    </row>
    <row r="13" ht="60" customFormat="1" customHeight="1" s="2">
      <c r="A13" s="40" t="n"/>
      <c r="B13" s="40" t="n"/>
      <c r="C13" s="11" t="inlineStr">
        <is>
          <t>关键任务/目标的完成度与结果（可参考部门KPI库）
Completion and results of key tasks/goals (see department KPI library) 研究院长制定 可从4P （法规认证）模块制定</t>
        </is>
      </c>
      <c r="D13" s="13" t="n">
        <v>20</v>
      </c>
      <c r="E13" s="13" t="n"/>
      <c r="F13" s="13" t="n"/>
      <c r="G13" s="14">
        <f>IF($F13="","",ROUND($D13*$F13/100,1))</f>
        <v/>
      </c>
      <c r="H13" s="15" t="n"/>
    </row>
    <row r="14" ht="73" customFormat="1" customHeight="1" s="2">
      <c r="A14" s="40" t="n"/>
      <c r="B14" s="40" t="n"/>
      <c r="C14" s="11" t="inlineStr">
        <is>
          <t>关键任务/目标的完成度与结果（可参考部门KPI库）
Completion and results of key tasks/goals (see department KPI library) 研究院长制定 可从4P(地产化)模块制定</t>
        </is>
      </c>
      <c r="D14" s="13" t="n">
        <v>20</v>
      </c>
      <c r="E14" s="13" t="n"/>
      <c r="F14" s="13" t="n"/>
      <c r="G14" s="14">
        <f>IF($F14="","",ROUND($D14*$F14/100,1))</f>
        <v/>
      </c>
      <c r="H14" s="15" t="n"/>
    </row>
    <row r="15" ht="109" customFormat="1" customHeight="1" s="2">
      <c r="A15" s="18" t="n">
        <v>2</v>
      </c>
      <c r="B15" s="19" t="inlineStr">
        <is>
          <t>文化认同与沟通协作（员工）/属地团队建设（专业负责人）
Cultural alignment, communication（Employee） &amp; collaboration，
Local Team Development​（Lead）</t>
        </is>
      </c>
      <c r="C15" s="20" t="inlineStr">
        <is>
          <t>企业文化认同、沟通协作、知识共享
Identification with company culture, communication &amp; collaboration, knowledge sharing</t>
        </is>
      </c>
      <c r="D15" s="13" t="n">
        <v>10</v>
      </c>
      <c r="E15" s="13" t="n"/>
      <c r="F15" s="13" t="n"/>
      <c r="G15" s="14">
        <f>IF($F15="","",ROUND($D15*$F15/100,1))</f>
        <v/>
      </c>
      <c r="H15" s="15" t="n"/>
    </row>
    <row r="16" ht="40.5" customFormat="1" customHeight="1" s="2">
      <c r="A16" s="18" t="n">
        <v>3</v>
      </c>
      <c r="B16" s="21" t="inlineStr">
        <is>
          <t>海外属地能力体系建设
Local Capability Development Framework​</t>
        </is>
      </c>
      <c r="C16" s="20" t="inlineStr">
        <is>
          <t>专业深度、方案质量、缺陷/返工率、技术文档
Technical depth, solution quality, defects/rework, documentation</t>
        </is>
      </c>
      <c r="D16" s="13" t="n">
        <v>5</v>
      </c>
      <c r="E16" s="13" t="n"/>
      <c r="F16" s="13" t="n"/>
      <c r="G16" s="14">
        <f>IF($F16="","",ROUND($D16*$F16/100,1))</f>
        <v/>
      </c>
      <c r="H16" s="15" t="n"/>
    </row>
    <row r="17" ht="40.5" customFormat="1" customHeight="1" s="2">
      <c r="A17" s="18" t="n">
        <v>4</v>
      </c>
      <c r="B17" s="21" t="inlineStr">
        <is>
          <t>合规·安全·数据保护
Compliance, safety &amp; data protection</t>
        </is>
      </c>
      <c r="C17" s="20" t="inlineStr">
        <is>
          <t>流程/法规遵从、功能与试验安全、GDPR与信息安全
Process/regulatory compliance, functional &amp; test safety, GDPR &amp; information security</t>
        </is>
      </c>
      <c r="D17" s="13" t="n">
        <v>5</v>
      </c>
      <c r="E17" s="13" t="n"/>
      <c r="F17" s="13" t="n"/>
      <c r="G17" s="14">
        <f>IF($F17="","",ROUND($D17*$F17/100,1))</f>
        <v/>
      </c>
      <c r="H17" s="15" t="n"/>
    </row>
    <row r="18" ht="21.75" customFormat="1" customHeight="1" s="2">
      <c r="A18" s="22" t="n"/>
      <c r="B18" s="23" t="inlineStr">
        <is>
          <t>权重合计（应为100）/ Total weight (=100)</t>
        </is>
      </c>
      <c r="C18" s="38" t="n"/>
      <c r="D18" s="24">
        <f>SUM(D11:D17)</f>
        <v/>
      </c>
      <c r="E18" s="22" t="n"/>
      <c r="F18" s="22" t="n"/>
      <c r="G18" s="22" t="n"/>
      <c r="H18" s="25" t="inlineStr">
        <is>
          <t>↑ 须等于100 / must equal 100</t>
        </is>
      </c>
    </row>
    <row r="19" ht="24" customFormat="1" customHeight="1" s="2">
      <c r="A19" s="26" t="n"/>
      <c r="B19" s="27" t="inlineStr">
        <is>
          <t>主管加权总分（满分100）/ Total score (manager, out of 100)</t>
        </is>
      </c>
      <c r="C19" s="39" t="n"/>
      <c r="D19" s="39" t="n"/>
      <c r="E19" s="39" t="n"/>
      <c r="F19" s="39" t="n"/>
      <c r="G19" s="28">
        <f>IF(COUNT(F11:F17)&lt;7,"",ROUND(SUM(G11:G17),1))</f>
        <v/>
      </c>
      <c r="H19" s="26" t="n"/>
    </row>
    <row r="20" ht="19.5" customFormat="1" customHeight="1" s="2">
      <c r="A20" s="22" t="n"/>
      <c r="B20" s="29" t="inlineStr">
        <is>
          <t>自评参考总分（满分100）/ Self-assessment total (reference)</t>
        </is>
      </c>
      <c r="C20" s="39" t="n"/>
      <c r="D20" s="39" t="n"/>
      <c r="E20" s="39" t="n"/>
      <c r="F20" s="39" t="n"/>
      <c r="G20" s="14">
        <f>IF(COUNT(E11:E17)&lt;7,"",ROUND(SUMPRODUCT(D11:D17,E11:E17)/100,1))</f>
        <v/>
      </c>
      <c r="H20" s="22" t="n"/>
    </row>
    <row r="21" ht="25.5" customFormat="1" customHeight="1" s="2">
      <c r="A21" s="30" t="n"/>
      <c r="B21" s="31" t="inlineStr">
        <is>
          <t>绩效等级 / Rating</t>
        </is>
      </c>
      <c r="C21" s="39" t="n"/>
      <c r="D21" s="39" t="n"/>
      <c r="E21" s="39" t="n"/>
      <c r="F21" s="39" t="n"/>
      <c r="G21" s="32">
        <f>IF(G19="","",IF(G19&gt;=90,"A 优秀/Excellent",IF(G19&gt;=80,"B 良好/Good",IF(G19&gt;=60,"C 胜任/Competent",IF(G19&gt;=40,"D 待改进/Needs improvement","E 不胜任/Unsatisfactory"))))&amp;" · "&amp;ROUND(G19/20,2)&amp;"/5")</f>
        <v/>
      </c>
      <c r="H21" s="38" t="n"/>
    </row>
    <row r="23" ht="19.5" customFormat="1" customHeight="1" s="2">
      <c r="A23" s="5" t="inlineStr">
        <is>
          <t>三、目标·成果·发展摘要  /  Goals, Achievements &amp; Development</t>
        </is>
      </c>
    </row>
    <row r="24" ht="45.75" customFormat="1" customHeight="1" s="2">
      <c r="A24" s="6" t="inlineStr">
        <is>
          <t xml:space="preserve">不足及待提升部分
Areas for Improvement
</t>
        </is>
      </c>
      <c r="B24" s="38" t="n"/>
      <c r="C24" s="33" t="n"/>
      <c r="D24" s="39" t="n"/>
      <c r="E24" s="39" t="n"/>
      <c r="F24" s="39" t="n"/>
      <c r="G24" s="39" t="n"/>
      <c r="H24" s="38" t="n"/>
    </row>
    <row r="25" ht="45.75" customFormat="1" customHeight="1" s="2">
      <c r="A25" s="6" t="inlineStr">
        <is>
          <t>改进与发展计划
Improvement &amp; development</t>
        </is>
      </c>
      <c r="B25" s="38" t="n"/>
      <c r="C25" s="33" t="n"/>
      <c r="D25" s="39" t="n"/>
      <c r="E25" s="39" t="n"/>
      <c r="F25" s="39" t="n"/>
      <c r="G25" s="39" t="n"/>
      <c r="H25" s="38" t="n"/>
    </row>
    <row r="26" ht="27" customHeight="1" s="41"/>
    <row r="27" ht="19.5" customFormat="1" customHeight="1" s="2">
      <c r="A27" s="5" t="inlineStr">
        <is>
          <t>四、确认与签字  /  Acknowledgement &amp; Signatures</t>
        </is>
      </c>
    </row>
    <row r="28" ht="31.5" customFormat="1" customHeight="1" s="2">
      <c r="A28" s="34" t="inlineStr">
        <is>
          <t>员工有权阅读评价、提出书面意见并申诉（见制度文件）。签字表示已知悉，不代表必然同意评价内容。
The employee has the right to read the evaluation, submit written comments and appeal (see the policy document). Signing acknowledges receipt, not necessarily agreement with the content.</t>
        </is>
      </c>
      <c r="B28" s="39" t="n"/>
      <c r="C28" s="39" t="n"/>
      <c r="D28" s="39" t="n"/>
      <c r="E28" s="39" t="n"/>
      <c r="F28" s="39" t="n"/>
      <c r="G28" s="39" t="n"/>
      <c r="H28" s="39" t="n"/>
    </row>
    <row r="29" ht="18" customFormat="1" customHeight="1" s="2">
      <c r="A29" s="35" t="inlineStr">
        <is>
          <t>员工签字 / Employee signature</t>
        </is>
      </c>
      <c r="B29" s="39" t="n"/>
      <c r="C29" s="38" t="n"/>
      <c r="D29" s="35" t="inlineStr">
        <is>
          <t>直属主管 / Line Manager</t>
        </is>
      </c>
      <c r="E29" s="39" t="n"/>
      <c r="F29" s="38" t="n"/>
      <c r="G29" s="35" t="inlineStr">
        <is>
          <t>人力资源 / HR</t>
        </is>
      </c>
      <c r="H29" s="38" t="n"/>
    </row>
    <row r="30" ht="33.75" customFormat="1" customHeight="1" s="2">
      <c r="A30" s="36" t="n"/>
      <c r="B30" s="39" t="n"/>
      <c r="C30" s="38" t="n"/>
      <c r="D30" s="36" t="n"/>
      <c r="E30" s="39" t="n"/>
      <c r="F30" s="38" t="n"/>
      <c r="G30" s="36" t="n"/>
      <c r="H30" s="38" t="n"/>
    </row>
    <row r="31" ht="18" customFormat="1" customHeight="1" s="2">
      <c r="A31" s="20" t="inlineStr">
        <is>
          <t>日期 Date:</t>
        </is>
      </c>
      <c r="B31" s="39" t="n"/>
      <c r="C31" s="38" t="n"/>
      <c r="D31" s="20" t="inlineStr">
        <is>
          <t>日期 Date:</t>
        </is>
      </c>
      <c r="E31" s="39" t="n"/>
      <c r="F31" s="38" t="n"/>
      <c r="G31" s="20" t="inlineStr">
        <is>
          <t>日期 Date:</t>
        </is>
      </c>
      <c r="H31" s="38" t="n"/>
    </row>
    <row r="33" ht="25.5" customFormat="1" customHeight="1" s="2">
      <c r="A33" s="37" t="inlineStr">
        <is>
          <t>数据保护 / Data protection: 本表含个人数据，依GDPR/LOPDGDD以评价为目的处理，限期保存，员工享有访问、更正等权利。 This form contains personal data processed for evaluation purposes under the GDPR/LOPDGDD, retained for a limited period; employees may exercise their rights of access, rectification, etc.</t>
        </is>
      </c>
    </row>
  </sheetData>
  <mergeCells count="40">
    <mergeCell ref="A9:H9"/>
    <mergeCell ref="G21:H21"/>
    <mergeCell ref="C25:H25"/>
    <mergeCell ref="A24:B24"/>
    <mergeCell ref="A11:A14"/>
    <mergeCell ref="B11:B14"/>
    <mergeCell ref="D7:F7"/>
    <mergeCell ref="A1:H1"/>
    <mergeCell ref="G8:H8"/>
    <mergeCell ref="B18:C18"/>
    <mergeCell ref="A6:B6"/>
    <mergeCell ref="B21:F21"/>
    <mergeCell ref="A7:B7"/>
    <mergeCell ref="G7:H7"/>
    <mergeCell ref="A25:B25"/>
    <mergeCell ref="G6:H6"/>
    <mergeCell ref="A29:C29"/>
    <mergeCell ref="D8:F8"/>
    <mergeCell ref="A27:H27"/>
    <mergeCell ref="D30:F30"/>
    <mergeCell ref="D29:F29"/>
    <mergeCell ref="D5:F5"/>
    <mergeCell ref="G30:H30"/>
    <mergeCell ref="A2:H2"/>
    <mergeCell ref="A31:C31"/>
    <mergeCell ref="A5:B5"/>
    <mergeCell ref="G5:H5"/>
    <mergeCell ref="B19:F19"/>
    <mergeCell ref="A33:H33"/>
    <mergeCell ref="A30:C30"/>
    <mergeCell ref="A23:H23"/>
    <mergeCell ref="A8:B8"/>
    <mergeCell ref="G29:H29"/>
    <mergeCell ref="A4:H4"/>
    <mergeCell ref="C24:H24"/>
    <mergeCell ref="B20:F20"/>
    <mergeCell ref="D31:F31"/>
    <mergeCell ref="A28:H28"/>
    <mergeCell ref="G31:H31"/>
    <mergeCell ref="D6:F6"/>
  </mergeCells>
  <dataValidations count="1">
    <dataValidation sqref="E11:F11 E12:F12 E13:F13 E14:F14 E15:F17" showDropDown="0" showInputMessage="1" showErrorMessage="1" allowBlank="1" errorTitle="分数超出范围 / Out of range" error="请输入 1–100 之间的整数 / Enter a whole number between 1 and 100." promptTitle="评分 1–100 / Score 1–100" prompt="A≥90 B≥80 C≥60 D≥40 E&lt;40" type="whole" operator="between">
      <formula1>1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2026-07-16T09:35:48Z</dcterms:created>
  <dcterms:modified xmlns:dcterms="http://purl.org/dc/terms/" xmlns:xsi="http://www.w3.org/2001/XMLSchema-instance" xsi:type="dcterms:W3CDTF">2026-07-16T10:03:41Z</dcterms:modified>
  <cp:lastModifiedBy>宫畅壑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C772221E37AB40F98A7A4DCAEA1BF33E_11</vt:lpwstr>
  </property>
  <property name="KSOProductBuildVer" fmtid="{D5CDD505-2E9C-101B-9397-08002B2CF9AE}" pid="3">
    <vt:lpwstr xmlns:vt="http://schemas.openxmlformats.org/officeDocument/2006/docPropsVTypes">2052-12.1.0.20784</vt:lpwstr>
  </property>
</Properties>
</file>