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499ac0c74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绩效评分表 Evaluación" sheetId="1" r:id="R2a021d192aa6414c"/>
    <x:sheet xmlns:r="http://schemas.openxmlformats.org/officeDocument/2006/relationships" name="使用说明 Instrucciones" sheetId="2" r:id="Rec4e0d04556b4dc9"/>
    <x:sheet xmlns:r="http://schemas.openxmlformats.org/officeDocument/2006/relationships" name="评分标准 Criterios" sheetId="3" r:id="R49233d25834a4e9e"/>
    <x:sheet xmlns:r="http://schemas.openxmlformats.org/officeDocument/2006/relationships" name="部门KPI参考库 KPIs" sheetId="4" r:id="R94ad584e93154b47"/>
  </x:sheets>
</x:workbook>
</file>

<file path=xl/sharedStrings.xml><?xml version="1.0" encoding="utf-8"?>
<x:sst xmlns:x="http://schemas.openxmlformats.org/spreadsheetml/2006/main">
  <x:si>
    <x:t xml:space="preserve">属地员工绩效评分表  /  Hoja de Evaluación del Desempeño</x:t>
  </x:si>
  <x:si>
    <x:t xml:space="preserve">每项 1–100 分，按权重加权为百分制总分，自动换算 1–5 分对应 A–E · 先自评后主管评 · 结果用于发展，非自动解雇
Cada ítem de 1 a 100, ponderado a una nota sobre 100 y convertida a 1–5 (A–E) · Autoevaluación y luego responsable · Orientado al desarrollo</x:t>
  </x:si>
  <x:si>
    <x:t xml:space="preserve">一、被评价人信息  /  Datos del evaluado</x:t>
  </x:si>
  <x:si>
    <x:t xml:space="preserve">姓名 / Nombre</x:t>
  </x:si>
  <x:si>
    <x:t xml:space="preserve">岗位 / Puesto</x:t>
  </x:si>
  <x:si>
    <x:t xml:space="preserve">工号 / ID</x:t>
  </x:si>
  <x:si>
    <x:t xml:space="preserve">直属主管 / Responsable</x:t>
  </x:si>
  <x:si>
    <x:t xml:space="preserve">部门 / Departamento</x:t>
  </x:si>
  <x:si>
    <x:t xml:space="preserve">职级 / Nivel</x:t>
  </x:si>
  <x:si>
    <x:t xml:space="preserve">评价周期 / Periodo</x:t>
  </x:si>
  <x:si>
    <x:t xml:space="preserve">评价日期 / Fecha</x:t>
  </x:si>
  <x:si>
    <x:t xml:space="preserve">二、绩效评分（权重合计=100）/  Evaluación (suma de ponderaciones = 100)</x:t>
  </x:si>
  <x:si>
    <x:t xml:space="preserve">Nº</x:t>
  </x:si>
  <x:si>
    <x:t xml:space="preserve">评价维度
Dimensión</x:t>
  </x:si>
  <x:si>
    <x:t xml:space="preserve">客观衡量标准 / 证据要点
Criterio objetivo de medición</x:t>
  </x:si>
  <x:si>
    <x:t xml:space="preserve">权重%
Pond.</x:t>
  </x:si>
  <x:si>
    <x:t xml:space="preserve">自评
Auto</x:t>
  </x:si>
  <x:si>
    <x:t xml:space="preserve">主管
Resp.</x:t>
  </x:si>
  <x:si>
    <x:t xml:space="preserve">加权得分
Ponderada</x:t>
  </x:si>
  <x:si>
    <x:t xml:space="preserve">证据与说明
Evidencia / Comentario</x:t>
  </x:si>
  <x:si>
    <x:t xml:space="preserve">权重合计（应为100）/ Total ponderación (=100)</x:t>
  </x:si>
  <x:si>
    <x:t xml:space="preserve">↑ 须等于100 / debe ser 100</x:t>
  </x:si>
  <x:si>
    <x:t xml:space="preserve">主管加权总分（满分100）/ Puntuación total (responsable, sobre 100)</x:t>
  </x:si>
  <x:si>
    <x:t xml:space="preserve">自评参考总分（满分100）/ Total autoevaluación (referencia)</x:t>
  </x:si>
  <x:si>
    <x:t xml:space="preserve">绩效等级 / Calificación</x:t>
  </x:si>
  <x:si>
    <x:t xml:space="preserve">三、目标·成果·发展摘要  /  Objetivos, logros y desarrollo</x:t>
  </x:si>
  <x:si>
    <x:t xml:space="preserve">本期主要成果
Logros principales</x:t>
  </x:si>
  <x:si>
    <x:t xml:space="preserve">用事实与数据描述关键成果 / Describa con hechos y datos los logros clave</x:t>
  </x:si>
  <x:si>
    <x:t xml:space="preserve">改进与发展计划
Mejora y desarrollo</x:t>
  </x:si>
  <x:si>
    <x:t xml:space="preserve">需改进的能力与发展行动、培训需求 / Áreas de mejora, acciones de desarrollo y formación</x:t>
  </x:si>
  <x:si>
    <x:t xml:space="preserve">下一周期目标
Objetivos próximo periodo</x:t>
  </x:si>
  <x:si>
    <x:t xml:space="preserve">下一周期重点目标与方向 / Objetivos y prioridades del próximo periodo</x:t>
  </x:si>
  <x:si>
    <x:t xml:space="preserve">四、结果应用  /  Aplicación de resultados</x:t>
  </x:si>
  <x:si>
    <x:r>
      <x:rPr>
        <x:sz val="8"/>
        <x:color rgb="FF1A1A1A"/>
        <x:rFont val="Arial"/>
      </x:rPr>
      <x:t xml:space="preserve">C</x:t>
    </x:r>
    <x:r>
      <x:rPr>
        <x:sz val="8"/>
        <x:color rgb="FF1A1A1A"/>
        <x:rFont val="Noto Sans CJK SC"/>
        <x:family val="2"/>
      </x:rPr>
      <x:t xml:space="preserve">及以上：发展、晋升参考与变动薪酬（按适用集体协议）。  </x:t>
    </x:r>
    <x:r>
      <x:rPr>
        <x:sz val="8"/>
        <x:color rgb="FF1A1A1A"/>
        <x:rFont val="Arial"/>
      </x:rPr>
      <x:t xml:space="preserve">D/E</x:t>
    </x:r>
    <x:r>
      <x:rPr>
        <x:sz val="8"/>
        <x:color rgb="FF1A1A1A"/>
        <x:rFont val="Noto Sans CJK SC"/>
        <x:family val="2"/>
      </x:rPr>
      <x:t xml:space="preserve">：启动绩效改进计划（</x:t>
    </x:r>
    <x:r>
      <x:rPr>
        <x:sz val="8"/>
        <x:color rgb="FF1A1A1A"/>
        <x:rFont val="Arial"/>
      </x:rPr>
      <x:t xml:space="preserve">PIP</x:t>
    </x:r>
    <x:r>
      <x:rPr>
        <x:sz val="8"/>
        <x:color rgb="FF1A1A1A"/>
        <x:rFont val="Noto Sans CJK SC"/>
        <x:family val="2"/>
      </x:rPr>
      <x:t xml:space="preserve">，</x:t>
    </x:r>
    <x:r>
      <x:rPr>
        <x:sz val="8"/>
        <x:color rgb="FF1A1A1A"/>
        <x:rFont val="Arial"/>
      </x:rPr>
      <x:t xml:space="preserve">60–90</x:t>
    </x:r>
    <x:r>
      <x:rPr>
        <x:sz val="8"/>
        <x:color rgb="FF1A1A1A"/>
        <x:rFont val="Noto Sans CJK SC"/>
        <x:family val="2"/>
      </x:rPr>
      <x:t xml:space="preserve">天），提供支持并留痕；结果不自动导致解雇，合同终止须依西班牙法律单独程序。
</x:t>
    </x:r>
    <x:r>
      <x:rPr>
        <x:sz val="8"/>
        <x:color rgb="FF1A1A1A"/>
        <x:rFont val="Arial"/>
      </x:rPr>
      <x:t xml:space="preserve">C o superior: desarrollo, promoción y retribución variable (según convenio).  D/E: Plan de Mejora (PIP, 60–90 días) con apoyo y seguimiento; el resultado no implica despido automático; toda extinción sigue un procedimiento legal independiente.</x:t>
    </x:r>
  </x:si>
  <x:si>
    <x:t xml:space="preserve">是否触发PIP / ¿Activa PIP?</x:t>
  </x:si>
  <x:si>
    <x:t xml:space="preserve">（总分&lt;60自动提示 / se activa automáticamente si la nota total &lt; 60）</x:t>
  </x:si>
  <x:si>
    <x:t xml:space="preserve">五、确认与签字  /  Confirmación y firmas</x:t>
  </x:si>
  <x:si>
    <x:t xml:space="preserve">员工有权阅读评价、提出书面意见并申诉（见制度文件）。签字表示已知悉，不代表必然同意评价内容。
La persona trabajadora tiene derecho a conocer la evaluación, formular alegaciones por escrito y reclamar (véase el documento del sistema). La firma acredita la recepción, no necesariamente la conformidad.</x:t>
  </x:si>
  <x:si>
    <x:t xml:space="preserve">员工签字 / Firma del empleado</x:t>
  </x:si>
  <x:si>
    <x:t xml:space="preserve">人力资源 / RRHH</x:t>
  </x:si>
  <x:si>
    <x:t xml:space="preserve">日期 Fecha:</x:t>
  </x:si>
  <x:si>
    <x:t xml:space="preserve">数据保护 / Protección de datos: 本表含个人数据，依RGPD/LOPDGDD以评价为目的处理，限期保存，员工享有访问、更正等权利。 Contiene datos personales tratados con fines de evaluación conforme al RGPD/LOPDGDD.</x:t>
  </x:si>
  <x:si>
    <x:t xml:space="preserve">属地员工绩效评价  ·  使用说明与合规要点
Evaluación del Desempeño del Empleado Local · Instrucciones y Cumplimiento</x:t>
  </x:si>
  <x:si>
    <x:t xml:space="preserve">适用于西班牙属地研发各部门 · 中西双语 · 符合西班牙劳动法与RGPD
Aplicable a los departamentos de I+D en España · Bilingüe · Conforme a la legislación laboral española y al RGPD</x:t>
  </x:si>
  <x:si>
    <x:r>
      <x:rPr>
        <x:b/>
        <x:sz val="11"/>
        <x:color rgb="FFFFFFFF"/>
        <x:rFont val="Arial"/>
      </x:rPr>
      <x:t xml:space="preserve">1. </x:t>
    </x:r>
    <x:r>
      <x:rPr>
        <x:b/>
        <x:sz val="11"/>
        <x:color rgb="FFFFFFFF"/>
        <x:rFont val="Noto Sans CJK SC"/>
        <x:family val="2"/>
      </x:rPr>
      <x:t xml:space="preserve">目的 </x:t>
    </x:r>
    <x:r>
      <x:rPr>
        <x:b/>
        <x:sz val="11"/>
        <x:color rgb="FFFFFFFF"/>
        <x:rFont val="Arial"/>
      </x:rPr>
      <x:t xml:space="preserve">/ Finalidad</x:t>
    </x:r>
  </x:si>
  <x:si>
    <x:t xml:space="preserve">建立公开、客观、可衡量的绩效评价机制，对齐公司目标，支持员工发展与公平激励。本制度服务于发展与改进，不作为自动解雇依据。
Establecer un sistema de evaluación transparente, objetivo y medible, alineado con los objetivos de la empresa, orientado al desarrollo y a una retribución justa. El sistema sirve al desarrollo y la mejora; no constituye causa automática de despido.</x:t>
  </x:si>
  <x:si>
    <x:r>
      <x:rPr>
        <x:b/>
        <x:sz val="11"/>
        <x:color rgb="FFFFFFFF"/>
        <x:rFont val="Arial"/>
      </x:rPr>
      <x:t xml:space="preserve">2. </x:t>
    </x:r>
    <x:r>
      <x:rPr>
        <x:b/>
        <x:sz val="11"/>
        <x:color rgb="FFFFFFFF"/>
        <x:rFont val="Noto Sans CJK SC"/>
        <x:family val="2"/>
      </x:rPr>
      <x:t xml:space="preserve">法律与合规原则 </x:t>
    </x:r>
    <x:r>
      <x:rPr>
        <x:b/>
        <x:sz val="11"/>
        <x:color rgb="FFFFFFFF"/>
        <x:rFont val="Arial"/>
      </x:rPr>
      <x:t xml:space="preserve">/ Principios legales y de cumplimiento</x:t>
    </x:r>
  </x:si>
  <x:si>
    <x:t xml:space="preserve">• 透明、客观、公正、不歧视：评价标准事先告知，基于可衡量的事实与岗位相关行为。
• 数据保护（RGPD/LOPDGDD）：绩效数据属个人数据，按目的使用、限期保存，员工享有访问与更正权（ARSULIPO）。
• 数字断联权：不得以非工作时间的在线/响应作为评分项，不得因行使断联权而扣分或处分。
• 工时登记与工作生活平衡：以产出与结果衡量，不以加班时长或“在场时间”作为绩效。
• 适用集体协议（convenio）：晋升与变动薪酬须符合适用的集体协议（如金属业/工程技术）。
• 员工代表（comité de empresa）：制度的引入与重大变更应依法告知职工代表。
— — —
• Transparencia, objetividad, imparcialidad y no discriminación: criterios conocidos de antemano y basados en hechos medibles y conductas relacionadas con el puesto.
• Protección de datos (RGPD/LOPDGDD): los datos de desempeño son datos personales; uso limitado a su finalidad, conservación limitada y derechos ARSULIPO (acceso, rectificación, etc.).
• Derecho a la desconexión digital: la disponibilidad fuera de jornada no puntúa y no se sanciona su ejercicio.
• Registro de jornada y conciliación: se mide por resultados, no por horas extra ni presencia.
• Convenio colectivo aplicable: la promoción y la retribución variable respetan el convenio (p. ej., metal/ingeniería).
• Representación legal (comité de empresa): la implantación y cambios sustanciales se informan conforme a la ley.</x:t>
  </x:si>
  <x:si>
    <x:r>
      <x:rPr>
        <x:b/>
        <x:sz val="11"/>
        <x:color rgb="FFFFFFFF"/>
        <x:rFont val="Arial"/>
      </x:rPr>
      <x:t xml:space="preserve">3. </x:t>
    </x:r>
    <x:r>
      <x:rPr>
        <x:b/>
        <x:sz val="11"/>
        <x:color rgb="FFFFFFFF"/>
        <x:rFont val="Noto Sans CJK SC"/>
        <x:family val="2"/>
      </x:rPr>
      <x:t xml:space="preserve">评分方法 </x:t>
    </x:r>
    <x:r>
      <x:rPr>
        <x:b/>
        <x:sz val="11"/>
        <x:color rgb="FFFFFFFF"/>
        <x:rFont val="Arial"/>
      </x:rPr>
      <x:t xml:space="preserve">/ Método de puntuación</x:t>
    </x:r>
  </x:si>
  <x:si>
    <x:r>
      <x:rPr>
        <x:b/>
        <x:sz val="11"/>
        <x:color rgb="FFFFFFFF"/>
        <x:rFont val="Arial"/>
      </x:rPr>
      <x:t xml:space="preserve">4. </x:t>
    </x:r>
    <x:r>
      <x:rPr>
        <x:b/>
        <x:sz val="11"/>
        <x:color rgb="FFFFFFFF"/>
        <x:rFont val="Noto Sans CJK SC"/>
        <x:family val="2"/>
      </x:rPr>
      <x:t xml:space="preserve">等级分布（参考</x:t>
    </x:r>
    <x:r>
      <x:rPr>
        <x:b/>
        <x:sz val="11"/>
        <x:color rgb="FFFFFFFF"/>
        <x:rFont val="Arial"/>
      </x:rPr>
      <x:t xml:space="preserve">·</x:t>
    </x:r>
    <x:r>
      <x:rPr>
        <x:b/>
        <x:sz val="11"/>
        <x:color rgb="FFFFFFFF"/>
        <x:rFont val="Noto Sans CJK SC"/>
        <x:family val="2"/>
      </x:rPr>
      <x:t xml:space="preserve">非强制）</x:t>
    </x:r>
    <x:r>
      <x:rPr>
        <x:b/>
        <x:sz val="11"/>
        <x:color rgb="FFFFFFFF"/>
        <x:rFont val="Arial"/>
      </x:rPr>
      <x:t xml:space="preserve">/ Distribución de referencia (no vinculante)</x:t>
    </x:r>
  </x:si>
  <x:si>
    <x:t xml:space="preserve">为保证校准公平，可参考分布（如 A≈10%、B≈20%、C≈55%、D≈10%、E≈5%）。该分布仅为校准讨论参考，不得作为强制配额，更不得据此“末位淘汰”——在西班牙属违法。
Para la equidad en la calibración puede usarse una distribución orientativa (p. ej., A≈10 %, B≈20 %, C≈55 %, D≈10 %, E≈5 %). Es solo una referencia para el debate de calibración, NO una cuota obligatoria, y NO puede usarse para el despido del peor evaluado, práctica ilegal en España.</x:t>
  </x:si>
  <x:si>
    <x:r>
      <x:rPr>
        <x:b/>
        <x:sz val="11"/>
        <x:color rgb="FFFFFFFF"/>
        <x:rFont val="Arial"/>
      </x:rPr>
      <x:t xml:space="preserve">5. </x:t>
    </x:r>
    <x:r>
      <x:rPr>
        <x:b/>
        <x:sz val="11"/>
        <x:color rgb="FFFFFFFF"/>
        <x:rFont val="Noto Sans CJK SC"/>
        <x:family val="2"/>
      </x:rPr>
      <x:t xml:space="preserve">结果应用 </x:t>
    </x:r>
    <x:r>
      <x:rPr>
        <x:b/>
        <x:sz val="11"/>
        <x:color rgb="FFFFFFFF"/>
        <x:rFont val="Arial"/>
      </x:rPr>
      <x:t xml:space="preserve">/ Aplicación de resultados</x:t>
    </x:r>
  </x:si>
  <x:si>
    <x:r>
      <x:rPr>
        <x:sz val="9"/>
        <x:color rgb="FF1A1A1A"/>
        <x:rFont val="Arial"/>
      </x:rPr>
      <x:t xml:space="preserve">• C </x:t>
    </x:r>
    <x:r>
      <x:rPr>
        <x:sz val="9"/>
        <x:color rgb="FF1A1A1A"/>
        <x:rFont val="Noto Sans CJK SC"/>
        <x:family val="2"/>
      </x:rPr>
      <x:t xml:space="preserve">及以上：正常激励、发展与晋升参考；变动薪酬按适用协议核算。
• D / E：启动绩效改进计划（</x:t>
    </x:r>
    <x:r>
      <x:rPr>
        <x:sz val="9"/>
        <x:color rgb="FF1A1A1A"/>
        <x:rFont val="Arial"/>
      </x:rPr>
      <x:t xml:space="preserve">PIP / Plan de Mejora</x:t>
    </x:r>
    <x:r>
      <x:rPr>
        <x:sz val="9"/>
        <x:color rgb="FF1A1A1A"/>
        <x:rFont val="Noto Sans CJK SC"/>
        <x:family val="2"/>
      </x:rPr>
      <x:t xml:space="preserve">），设定 </x:t>
    </x:r>
    <x:r>
      <x:rPr>
        <x:sz val="9"/>
        <x:color rgb="FF1A1A1A"/>
        <x:rFont val="Arial"/>
      </x:rPr>
      <x:t xml:space="preserve">60–90 </x:t>
    </x:r>
    <x:r>
      <x:rPr>
        <x:sz val="9"/>
        <x:color rgb="FF1A1A1A"/>
        <x:rFont val="Noto Sans CJK SC"/>
        <x:family val="2"/>
      </x:rPr>
      <x:t xml:space="preserve">天目标与支持，过程留痕。结果不自动导致解雇；如涉及合同终止，须依西班牙法律单独程序（第</x:t>
    </x:r>
    <x:r>
      <x:rPr>
        <x:sz val="9"/>
        <x:color rgb="FF1A1A1A"/>
        <x:rFont val="Arial"/>
      </x:rPr>
      <x:t xml:space="preserve">52</x:t>
    </x:r>
    <x:r>
      <x:rPr>
        <x:sz val="9"/>
        <x:color rgb="FF1A1A1A"/>
        <x:rFont val="Noto Sans CJK SC"/>
        <x:family val="2"/>
      </x:rPr>
      <x:t xml:space="preserve">条客观</x:t>
    </x:r>
    <x:r>
      <x:rPr>
        <x:sz val="9"/>
        <x:color rgb="FF1A1A1A"/>
        <x:rFont val="Arial"/>
      </x:rPr>
      <x:t xml:space="preserve">/</x:t>
    </x:r>
    <x:r>
      <x:rPr>
        <x:sz val="9"/>
        <x:color rgb="FF1A1A1A"/>
        <x:rFont val="Noto Sans CJK SC"/>
        <x:family val="2"/>
      </x:rPr>
      <x:t xml:space="preserve">第</x:t>
    </x:r>
    <x:r>
      <x:rPr>
        <x:sz val="9"/>
        <x:color rgb="FF1A1A1A"/>
        <x:rFont val="Arial"/>
      </x:rPr>
      <x:t xml:space="preserve">54</x:t>
    </x:r>
    <x:r>
      <x:rPr>
        <x:sz val="9"/>
        <x:color rgb="FF1A1A1A"/>
        <x:rFont val="Noto Sans CJK SC"/>
        <x:family val="2"/>
      </x:rPr>
      <x:t xml:space="preserve">条纪律），并满足其举证与形式要件。
— — —
• C o superior: incentivos, desarrollo y promoción; retribución variable según el convenio.
• D / E: se activa un Plan de Mejora del Desempeño (PIP) de 60–90 días con apoyo y seguimiento documentado. El resultado no implica despido automático; cualquier extinción sigue un procedimiento legal independiente (art. 52 objetivo / art. 54 disciplinario) con su carga de prueba y requisitos formales.</x:t>
    </x:r>
  </x:si>
  <x:si>
    <x:r>
      <x:rPr>
        <x:b/>
        <x:sz val="11"/>
        <x:color rgb="FFFFFFFF"/>
        <x:rFont val="Arial"/>
      </x:rPr>
      <x:t xml:space="preserve">6. </x:t>
    </x:r>
    <x:r>
      <x:rPr>
        <x:b/>
        <x:sz val="11"/>
        <x:color rgb="FFFFFFFF"/>
        <x:rFont val="Noto Sans CJK SC"/>
        <x:family val="2"/>
      </x:rPr>
      <x:t xml:space="preserve">颜色与填写 </x:t>
    </x:r>
    <x:r>
      <x:rPr>
        <x:b/>
        <x:sz val="11"/>
        <x:color rgb="FFFFFFFF"/>
        <x:rFont val="Arial"/>
      </x:rPr>
      <x:t xml:space="preserve">/ Colores y cumplimentación</x:t>
    </x:r>
  </x:si>
  <x:si>
    <x:t xml:space="preserve">黄色单元格为需填写项（权重、自评、主管评、证据与文本）。其余为公式自动计算，请勿手改。
Las celdas en amarillo son de cumplimentación (ponderación, autoevaluación, evaluación del responsable, evidencias y textos). El resto se calcula por fórmula; no lo modifique.</x:t>
  </x:si>
  <x:si>
    <x:t xml:space="preserve">评分标准（1–100分锚点）/  Criterios de puntuación (anclas 1–100)</x:t>
  </x:si>
  <x:si>
    <x:t xml:space="preserve">请基于事实、数据与岗位相关行为打分，避免凭第一印象或与岗位无关因素（如年龄、出身、语言口音）。
Puntúe con hechos, datos y conductas del puesto; evite impresiones o factores ajenos al puesto (edad, origen, acento).</x:t>
  </x:si>
  <x:si>
    <x:t xml:space="preserve">分数 Nota</x:t>
  </x:si>
  <x:si>
    <x:t xml:space="preserve">等级 Nivel</x:t>
  </x:si>
  <x:si>
    <x:t xml:space="preserve">结果达成 Logro</x:t>
  </x:si>
  <x:si>
    <x:t xml:space="preserve">质量 Calidad</x:t>
  </x:si>
  <x:si>
    <x:t xml:space="preserve">自主性 Autonomía</x:t>
  </x:si>
  <x:si>
    <x:t xml:space="preserve">影响 Impacto</x:t>
  </x:si>
  <x:si>
    <x:t xml:space="preserve">90–100</x:t>
  </x:si>
  <x:si>
    <x:t xml:space="preserve">优秀
Excelente</x:t>
  </x:si>
  <x:si>
    <x:t xml:space="preserve">持续大幅超目标
Supera ampliamente</x:t>
  </x:si>
  <x:si>
    <x:t xml:space="preserve">标杆级、近零缺陷
Referencia, casi sin defectos</x:t>
  </x:si>
  <x:si>
    <x:t xml:space="preserve">完全自驱、带动他人
Autónomo, lidera</x:t>
  </x:si>
  <x:si>
    <x:t xml:space="preserve">影响跨部门/公司级
Impacto transversal</x:t>
  </x:si>
  <x:si>
    <x:t xml:space="preserve">80–89</x:t>
  </x:si>
  <x:si>
    <x:t xml:space="preserve">良好
Bueno</x:t>
  </x:si>
  <x:si>
    <x:t xml:space="preserve">达成并部分超出
Cumple y supera en parte</x:t>
  </x:si>
  <x:si>
    <x:t xml:space="preserve">高质量、少返工
Alta calidad, poco retrabajo</x:t>
  </x:si>
  <x:si>
    <x:t xml:space="preserve">独立完成
Independiente</x:t>
  </x:si>
  <x:si>
    <x:t xml:space="preserve">影响团队
Impacto en el equipo</x:t>
  </x:si>
  <x:si>
    <x:t xml:space="preserve">60–79</x:t>
  </x:si>
  <x:si>
    <x:t xml:space="preserve">胜任
Competente</x:t>
  </x:si>
  <x:si>
    <x:t xml:space="preserve">基本达成目标
Cumple lo esperado</x:t>
  </x:si>
  <x:si>
    <x:t xml:space="preserve">质量达标
Calidad aceptable</x:t>
  </x:si>
  <x:si>
    <x:t xml:space="preserve">常规需引导
Guía ocasional</x:t>
  </x:si>
  <x:si>
    <x:t xml:space="preserve">影响个人职责
Ámbito propio</x:t>
  </x:si>
  <x:si>
    <x:t xml:space="preserve">40–59</x:t>
  </x:si>
  <x:si>
    <x:t xml:space="preserve">待改进
Mejora necesaria</x:t>
  </x:si>
  <x:si>
    <x:t xml:space="preserve">部分达成,有缺口
Cumple parcialmente</x:t>
  </x:si>
  <x:si>
    <x:t xml:space="preserve">质量不稳/返工多
Irregular, retrabajo</x:t>
  </x:si>
  <x:si>
    <x:t xml:space="preserve">需较多督导
Requiere supervisión</x:t>
  </x:si>
  <x:si>
    <x:t xml:space="preserve">需他人补位
Requiere apoyo</x:t>
  </x:si>
  <x:si>
    <x:t xml:space="preserve">&lt;40</x:t>
  </x:si>
  <x:si>
    <x:t xml:space="preserve">不胜任
Insuficiente</x:t>
  </x:si>
  <x:si>
    <x:t xml:space="preserve">明显未达成
No cumple</x:t>
  </x:si>
  <x:si>
    <x:t xml:space="preserve">缺陷多/不可接受
Defectos inaceptables</x:t>
  </x:si>
  <x:si>
    <x:t xml:space="preserve">无法独立
No autónomo</x:t>
  </x:si>
  <x:si>
    <x:t xml:space="preserve">造成返工/风险
Genera retrabajo/riesgo</x:t>
  </x:si>
  <x:si>
    <x:t xml:space="preserve">总分 → 等级映射  /  Puntuación total → calificación</x:t>
  </x:si>
  <x:si>
    <x:t xml:space="preserve">等级 Calif.</x:t>
  </x:si>
  <x:si>
    <x:t xml:space="preserve">分数区间 Rango</x:t>
  </x:si>
  <x:si>
    <x:t xml:space="preserve">含义 Significado</x:t>
  </x:si>
  <x:si>
    <x:t xml:space="preserve">结果应用 Aplicación</x:t>
  </x:si>
  <x:si>
    <x:t xml:space="preserve">A</x:t>
  </x:si>
  <x:si>
    <x:t xml:space="preserve">90–100 (4.5–5)</x:t>
  </x:si>
  <x:si>
    <x:t xml:space="preserve">优秀 / Excelente</x:t>
  </x:si>
  <x:si>
    <x:t xml:space="preserve">重点激励、晋升候选 / Incentivo alto, candidato a promoción</x:t>
  </x:si>
  <x:si>
    <x:t xml:space="preserve">B</x:t>
  </x:si>
  <x:si>
    <x:t xml:space="preserve">80–89 (4–4.5)</x:t>
  </x:si>
  <x:si>
    <x:t xml:space="preserve">良好 / Bueno</x:t>
  </x:si>
  <x:si>
    <x:t xml:space="preserve">强激励、发展机会 / Incentivo, oportunidades de desarrollo</x:t>
  </x:si>
  <x:si>
    <x:t xml:space="preserve">C</x:t>
  </x:si>
  <x:si>
    <x:t xml:space="preserve">60–79 (3–4)</x:t>
  </x:si>
  <x:si>
    <x:t xml:space="preserve">胜任 / Competente</x:t>
  </x:si>
  <x:si>
    <x:t xml:space="preserve">正常激励与发展 / Reconocimiento y desarrollo normal</x:t>
  </x:si>
  <x:si>
    <x:t xml:space="preserve">D</x:t>
  </x:si>
  <x:si>
    <x:t xml:space="preserve">40–59 (2–3)</x:t>
  </x:si>
  <x:si>
    <x:t xml:space="preserve">待改进 / Mejora necesaria</x:t>
  </x:si>
  <x:si>
    <x:t xml:space="preserve">绩效改进计划PIP / Plan de Mejora (PIP)</x:t>
  </x:si>
  <x:si>
    <x:t xml:space="preserve">E</x:t>
  </x:si>
  <x:si>
    <x:t xml:space="preserve">&lt;40 (1–2)</x:t>
  </x:si>
  <x:si>
    <x:t xml:space="preserve">不胜任 / Insuficiente</x:t>
  </x:si>
  <x:si>
    <x:r>
      <x:rPr>
        <x:sz val="8"/>
        <x:color rgb="FF1A1A1A"/>
        <x:rFont val="Arial"/>
      </x:rPr>
      <x:t xml:space="preserve">PIP+</x:t>
    </x:r>
    <x:r>
      <x:rPr>
        <x:sz val="8"/>
        <x:color rgb="FF1A1A1A"/>
        <x:rFont val="Noto Sans CJK SC"/>
        <x:family val="2"/>
      </x:rPr>
      <x:t xml:space="preserve">密切跟进 </x:t>
    </x:r>
    <x:r>
      <x:rPr>
        <x:sz val="8"/>
        <x:color rgb="FF1A1A1A"/>
        <x:rFont val="Arial"/>
      </x:rPr>
      <x:t xml:space="preserve">/ PIP y seguimiento estrecho</x:t>
    </x:r>
  </x:si>
  <x:si>
    <x:t xml:space="preserve">各部门KPI参考库（用于评判“业绩与目标达成”维度）/  Biblioteca de KPIs por departamento (dimensión «desempeño y logro de objetivos»)</x:t>
  </x:si>
  <x:si>
    <x:t xml:space="preserve">请按岗位参考可量化KPI设定与评判目标；目标应SMART、设定明确达成口径与数据来源。
Use estos KPIs cuantificables como referencia para fijar y valorar los objetivos por puesto; objetivos SMART con criterio de logro y fuente de datos.</x:t>
  </x:si>
  <x:si>
    <x:t xml:space="preserve">部门
Departamento</x:t>
  </x:si>
  <x:si>
    <x:r>
      <x:rPr>
        <x:b/>
        <x:sz val="9"/>
        <x:color rgb="FFFFFFFF"/>
        <x:rFont val="Arial"/>
      </x:rPr>
      <x:t xml:space="preserve">KPI</x:t>
    </x:r>
    <x:r>
      <x:rPr>
        <x:b/>
        <x:sz val="9"/>
        <x:color rgb="FFFFFFFF"/>
        <x:rFont val="Noto Sans CJK SC"/>
        <x:family val="2"/>
      </x:rPr>
      <x:t xml:space="preserve">（中文）</x:t>
    </x:r>
  </x:si>
  <x:si>
    <x:t xml:space="preserve">KPI (Español)</x:t>
  </x:si>
  <x:si>
    <x:t xml:space="preserve">定义/计算口径（中）</x:t>
  </x:si>
  <x:si>
    <x:t xml:space="preserve">Definición / fórmula</x:t>
  </x:si>
  <x:si>
    <x:t xml:space="preserve">方向
Dir.</x:t>
  </x:si>
  <x:si>
    <x:t xml:space="preserve">数据来源
Fuente</x:t>
  </x:si>
  <x:si>
    <x:t xml:space="preserve">产品共创
Product Co-Creation
Co-Creación de Producto</x:t>
  </x:si>
  <x:si>
    <x:t xml:space="preserve">用户需求闭环率</x:t>
  </x:si>
  <x:si>
    <x:t xml:space="preserve">Tasa de cierre de requisitos de usuario</x:t>
  </x:si>
  <x:si>
    <x:t xml:space="preserve">已转化为有效规格的需求占比</x:t>
  </x:si>
  <x:si>
    <x:t xml:space="preserve">% de requisitos convertidos en especificación validada</x:t>
  </x:si>
  <x:si>
    <x:t xml:space="preserve">↑</x:t>
  </x:si>
  <x:si>
    <x:r>
      <x:rPr>
        <x:sz val="8"/>
        <x:color rgb="FF1A1A1A"/>
        <x:rFont val="Arial"/>
      </x:rPr>
      <x:t xml:space="preserve">PLM/</x:t>
    </x:r>
    <x:r>
      <x:rPr>
        <x:sz val="8"/>
        <x:color rgb="FF1A1A1A"/>
        <x:rFont val="Noto Sans CJK SC"/>
        <x:family val="2"/>
      </x:rPr>
      <x:t xml:space="preserve">需求系统</x:t>
    </x:r>
  </x:si>
  <x:si>
    <x:t xml:space="preserve">共创活动交付</x:t>
  </x:si>
  <x:si>
    <x:t xml:space="preserve">Entrega de actividades de co-creación</x:t>
  </x:si>
  <x:si>
    <x:t xml:space="preserve">按计划完成的共创工作坊数量与质量</x:t>
  </x:si>
  <x:si>
    <x:t xml:space="preserve">Nº y calidad de talleres de co-creación según plan</x:t>
  </x:si>
  <x:si>
    <x:t xml:space="preserve">项目计划</x:t>
  </x:si>
  <x:si>
    <x:t xml:space="preserve">产品定义里程碑达成率</x:t>
  </x:si>
  <x:si>
    <x:t xml:space="preserve">Cumplimiento de hitos de definición</x:t>
  </x:si>
  <x:si>
    <x:t xml:space="preserve">按时达成的定义里程碑占比</x:t>
  </x:si>
  <x:si>
    <x:t xml:space="preserve">% de hitos de definición a tiempo</x:t>
  </x:si>
  <x:si>
    <x:t xml:space="preserve">项目管理</x:t>
  </x:si>
  <x:si>
    <x:t xml:space="preserve">产品满意度/NPS</x:t>
  </x:si>
  <x:si>
    <x:t xml:space="preserve">Satisfacción de producto (NPS)</x:t>
  </x:si>
  <x:si>
    <x:t xml:space="preserve">目标用户对共创产品的满意度评分</x:t>
  </x:si>
  <x:si>
    <x:t xml:space="preserve">Puntuación de satisfacción del usuario (NPS)</x:t>
  </x:si>
  <x:si>
    <x:t xml:space="preserve">用户调研</x:t>
  </x:si>
  <x:si>
    <x:t xml:space="preserve">需求转交时效</x:t>
  </x:si>
  <x:si>
    <x:t xml:space="preserve">Tiempo de transferencia de requisitos</x:t>
  </x:si>
  <x:si>
    <x:t xml:space="preserve">需求转交工程的平均周期</x:t>
  </x:si>
  <x:si>
    <x:t xml:space="preserve">Tiempo medio de transferencia a ingeniería</x:t>
  </x:si>
  <x:si>
    <x:t xml:space="preserve">↓</x:t>
  </x:si>
  <x:si>
    <x:t xml:space="preserve">PLM</x:t>
  </x:si>
  <x:si>
    <x:t xml:space="preserve">运营管理
Operations Management
Gestión de Operaciones</x:t>
  </x:si>
  <x:si>
    <x:t xml:space="preserve">流程/SLA达成率</x:t>
  </x:si>
  <x:si>
    <x:t xml:space="preserve">Cumplimiento de procesos y SLA</x:t>
  </x:si>
  <x:si>
    <x:t xml:space="preserve">在SLA内完成的流程占比</x:t>
  </x:si>
  <x:si>
    <x:t xml:space="preserve">% de procesos dentro de SLA</x:t>
  </x:si>
  <x:si>
    <x:t xml:space="preserve">运营系统</x:t>
  </x:si>
  <x:si>
    <x:t xml:space="preserve">预算/成本偏差</x:t>
  </x:si>
  <x:si>
    <x:t xml:space="preserve">Desviación presupuestaria</x:t>
  </x:si>
  <x:si>
    <x:t xml:space="preserve">实际对预算的偏差率</x:t>
  </x:si>
  <x:si>
    <x:t xml:space="preserve">% de desviación frente al presupuesto</x:t>
  </x:si>
  <x:si>
    <x:t xml:space="preserve">财务系统</x:t>
  </x:si>
  <x:si>
    <x:t xml:space="preserve">运营里程碑达成</x:t>
  </x:si>
  <x:si>
    <x:t xml:space="preserve">Cumplimiento de hitos operativos</x:t>
  </x:si>
  <x:si>
    <x:t xml:space="preserve">按时达成的运营节点占比</x:t>
  </x:si>
  <x:si>
    <x:t xml:space="preserve">% de hitos operativos a tiempo</x:t>
  </x:si>
  <x:si>
    <x:t xml:space="preserve">审计/合规结果</x:t>
  </x:si>
  <x:si>
    <x:t xml:space="preserve">Resultados de auditoría y cumplimiento</x:t>
  </x:si>
  <x:si>
    <x:t xml:space="preserve">按时关闭的不符合项数量</x:t>
  </x:si>
  <x:si>
    <x:t xml:space="preserve">Nº de no conformidades cerradas a tiempo</x:t>
  </x:si>
  <x:si>
    <x:t xml:space="preserve">审计报告</x:t>
  </x:si>
  <x:si>
    <x:t xml:space="preserve">跨部门协同满意度</x:t>
  </x:si>
  <x:si>
    <x:t xml:space="preserve">Satisfacción de colaboración interna</x:t>
  </x:si>
  <x:si>
    <x:t xml:space="preserve">内部协同满意度评分</x:t>
  </x:si>
  <x:si>
    <x:t xml:space="preserve">Puntuación de satisfacción interna</x:t>
  </x:si>
  <x:si>
    <x:t xml:space="preserve">内部调研</x:t>
  </x:si>
  <x:si>
    <x:t xml:space="preserve">产品开发与工程
Product Dev. &amp; Eng.
Desarrollo de Producto e Ingeniería</x:t>
  </x:si>
  <x:si>
    <x:t xml:space="preserve">研发里程碑达成率</x:t>
  </x:si>
  <x:si>
    <x:t xml:space="preserve">Cumplimiento de hitos de desarrollo</x:t>
  </x:si>
  <x:si>
    <x:t xml:space="preserve">按时通过的开发节点(gate/DV/PV)占比</x:t>
  </x:si>
  <x:si>
    <x:t xml:space="preserve">% de hitos (gate/DV/PV) a tiempo</x:t>
  </x:si>
  <x:si>
    <x:t xml:space="preserve">设计变更/质量</x:t>
  </x:si>
  <x:si>
    <x:t xml:space="preserve">Tasa de cambios de diseño y calidad</x:t>
  </x:si>
  <x:si>
    <x:r>
      <x:rPr>
        <x:sz val="8"/>
        <x:color rgb="FF1A1A1A"/>
        <x:rFont val="Arial"/>
      </x:rPr>
      <x:t xml:space="preserve">ECR/ECN</x:t>
    </x:r>
    <x:r>
      <x:rPr>
        <x:sz val="8"/>
        <x:color rgb="FF1A1A1A"/>
        <x:rFont val="Noto Sans CJK SC"/>
        <x:family val="2"/>
      </x:rPr>
      <x:t xml:space="preserve">数量与设计质量指数</x:t>
    </x:r>
  </x:si>
  <x:si>
    <x:t xml:space="preserve">Nº de ECR/ECN e índice de calidad</x:t>
  </x:si>
  <x:si>
    <x:r>
      <x:rPr>
        <x:sz val="8"/>
        <x:color rgb="FF1A1A1A"/>
        <x:rFont val="Arial"/>
      </x:rPr>
      <x:t xml:space="preserve">PLM/</x:t>
    </x:r>
    <x:r>
      <x:rPr>
        <x:sz val="8"/>
        <x:color rgb="FF1A1A1A"/>
        <x:rFont val="Noto Sans CJK SC"/>
        <x:family val="2"/>
      </x:rPr>
      <x:t xml:space="preserve">质量系统</x:t>
    </x:r>
  </x:si>
  <x:si>
    <x:t xml:space="preserve">成本目标(BOM)达成</x:t>
  </x:si>
  <x:si>
    <x:t xml:space="preserve">Cumplimiento de objetivo de coste (BOM)</x:t>
  </x:si>
  <x:si>
    <x:r>
      <x:rPr>
        <x:sz val="8"/>
        <x:color rgb="FF1A1A1A"/>
        <x:rFont val="Arial"/>
      </x:rPr>
      <x:t xml:space="preserve">BOM</x:t>
    </x:r>
    <x:r>
      <x:rPr>
        <x:sz val="8"/>
        <x:color rgb="FF1A1A1A"/>
        <x:rFont val="Noto Sans CJK SC"/>
        <x:family val="2"/>
      </x:rPr>
      <x:t xml:space="preserve">成本对目标的达成率</x:t>
    </x:r>
  </x:si>
  <x:si>
    <x:t xml:space="preserve">% de cumplimiento del coste BOM</x:t>
  </x:si>
  <x:si>
    <x:t xml:space="preserve">成本系统</x:t>
  </x:si>
  <x:si>
    <x:t xml:space="preserve">准时交付率</x:t>
  </x:si>
  <x:si>
    <x:t xml:space="preserve">Tasa de entrega a tiempo</x:t>
  </x:si>
  <x:si>
    <x:t xml:space="preserve">工程交付物按时完成占比</x:t>
  </x:si>
  <x:si>
    <x:t xml:space="preserve">% de entregables a tiempo</x:t>
  </x:si>
  <x:si>
    <x:t xml:space="preserve">技术文档/专利</x:t>
  </x:si>
  <x:si>
    <x:t xml:space="preserve">Documentación técnica y patentes</x:t>
  </x:si>
  <x:si>
    <x:t xml:space="preserve">技术文档完备度与专利产出</x:t>
  </x:si>
  <x:si>
    <x:t xml:space="preserve">Documentación y patentes (nº/calidad)</x:t>
  </x:si>
  <x:si>
    <x:t xml:space="preserve">知识库/IP</x:t>
  </x:si>
  <x:si>
    <x:t xml:space="preserve">整车验证与工程
Vehicle Validation &amp; Eng.
Validación de Vehículo</x:t>
  </x:si>
  <x:si>
    <x:t xml:space="preserve">测试计划完成率</x:t>
  </x:si>
  <x:si>
    <x:t xml:space="preserve">Finalización del plan de pruebas</x:t>
  </x:si>
  <x:si>
    <x:t xml:space="preserve">按计划完成的测试用例占比</x:t>
  </x:si>
  <x:si>
    <x:t xml:space="preserve">% de casos de prueba completados</x:t>
  </x:si>
  <x:si>
    <x:t xml:space="preserve">测试管理</x:t>
  </x:si>
  <x:si>
    <x:t xml:space="preserve">缺陷检出与闭环率</x:t>
  </x:si>
  <x:si>
    <x:t xml:space="preserve">Detección y cierre de defectos</x:t>
  </x:si>
  <x:si>
    <x:t xml:space="preserve">缺陷检出及按时闭环比例</x:t>
  </x:si>
  <x:si>
    <x:t xml:space="preserve">% de defectos detectados y cerrados a tiempo</x:t>
  </x:si>
  <x:si>
    <x:t xml:space="preserve">缺陷系统</x:t>
  </x:si>
  <x:si>
    <x:t xml:space="preserve">验证报告及时与质量</x:t>
  </x:si>
  <x:si>
    <x:t xml:space="preserve">Puntualidad y calidad de informes</x:t>
  </x:si>
  <x:si>
    <x:t xml:space="preserve">验证报告按时率与质量评分</x:t>
  </x:si>
  <x:si>
    <x:t xml:space="preserve">% a tiempo y calidad de informes</x:t>
  </x:si>
  <x:si>
    <x:t xml:space="preserve">文档系统</x:t>
  </x:si>
  <x:si>
    <x:t xml:space="preserve">认证/法规达成</x:t>
  </x:si>
  <x:si>
    <x:t xml:space="preserve">Cumplimiento de homologación</x:t>
  </x:si>
  <x:si>
    <x:r>
      <x:rPr>
        <x:sz val="8"/>
        <x:color rgb="FF1A1A1A"/>
        <x:rFont val="Arial"/>
      </x:rPr>
      <x:t xml:space="preserve">homologación</x:t>
    </x:r>
    <x:r>
      <x:rPr>
        <x:sz val="8"/>
        <x:color rgb="FF1A1A1A"/>
        <x:rFont val="Noto Sans CJK SC"/>
        <x:family val="2"/>
      </x:rPr>
      <x:t xml:space="preserve">与法规认证达成</x:t>
    </x:r>
  </x:si>
  <x:si>
    <x:t xml:space="preserve">Homologaciones y certificaciones logradas</x:t>
  </x:si>
  <x:si>
    <x:t xml:space="preserve">认证记录</x:t>
  </x:si>
  <x:si>
    <x:t xml:space="preserve">试验安全合规</x:t>
  </x:si>
  <x:si>
    <x:t xml:space="preserve">Seguridad en pruebas</x:t>
  </x:si>
  <x:si>
    <x:t xml:space="preserve">试验安全事件数(目标为零)</x:t>
  </x:si>
  <x:si>
    <x:t xml:space="preserve">Nº de incidentes de seguridad (objetivo: cero)</x:t>
  </x:si>
  <x:si>
    <x:r>
      <x:rPr>
        <x:sz val="8"/>
        <x:color rgb="FF1A1A1A"/>
        <x:rFont val="Arial"/>
      </x:rPr>
      <x:t xml:space="preserve">EHS</x:t>
    </x:r>
    <x:r>
      <x:rPr>
        <x:sz val="8"/>
        <x:color rgb="FF1A1A1A"/>
        <x:rFont val="Noto Sans CJK SC"/>
        <x:family val="2"/>
      </x:rPr>
      <x:t xml:space="preserve">记录</x:t>
    </x:r>
  </x:si>
  <x:si>
    <x:t xml:space="preserve">智慧能源技术
Smart Energy Technology
Tecnología de Energía</x:t>
  </x:si>
  <x:si>
    <x:t xml:space="preserve">能效/性能达成</x:t>
  </x:si>
  <x:si>
    <x:t xml:space="preserve">Cumplimiento de eficiencia/rendimiento</x:t>
  </x:si>
  <x:si>
    <x:t xml:space="preserve">能效或性能指标达成率</x:t>
  </x:si>
  <x:si>
    <x:t xml:space="preserve">% de cumplimiento de eficiencia/rendimiento</x:t>
  </x:si>
  <x:si>
    <x:t xml:space="preserve">试验数据</x:t>
  </x:si>
  <x:si>
    <x:t xml:space="preserve">能源系统验证完成率</x:t>
  </x:si>
  <x:si>
    <x:t xml:space="preserve">Validación de sistemas de energía</x:t>
  </x:si>
  <x:si>
    <x:t xml:space="preserve">电池/能源系统验证完成比例</x:t>
  </x:si>
  <x:si>
    <x:t xml:space="preserve">% de validación de sistemas de batería/energía</x:t>
  </x:si>
  <x:si>
    <x:t xml:space="preserve">技术里程碑达成</x:t>
  </x:si>
  <x:si>
    <x:t xml:space="preserve">Cumplimiento de hitos técnicos</x:t>
  </x:si>
  <x:si>
    <x:t xml:space="preserve">按时达成的技术节点占比</x:t>
  </x:si>
  <x:si>
    <x:t xml:space="preserve">% de hitos técnicos a tiempo</x:t>
  </x:si>
  <x:si>
    <x:t xml:space="preserve">电安全与合规</x:t>
  </x:si>
  <x:si>
    <x:t xml:space="preserve">Seguridad eléctrica y cumplimiento</x:t>
  </x:si>
  <x:si>
    <x:t xml:space="preserve">电安全事件与合规达成</x:t>
  </x:si>
  <x:si>
    <x:t xml:space="preserve">Incidentes eléctricos y cumplimiento normativo</x:t>
  </x:si>
  <x:si>
    <x:r>
      <x:rPr>
        <x:sz val="8"/>
        <x:color rgb="FF1A1A1A"/>
        <x:rFont val="Arial"/>
      </x:rPr>
      <x:t xml:space="preserve">EHS/</x:t>
    </x:r>
    <x:r>
      <x:rPr>
        <x:sz val="8"/>
        <x:color rgb="FF1A1A1A"/>
        <x:rFont val="Noto Sans CJK SC"/>
        <x:family val="2"/>
      </x:rPr>
      <x:t xml:space="preserve">合规</x:t>
    </x:r>
  </x:si>
  <x:si>
    <x:t xml:space="preserve">创新/专利</x:t>
  </x:si>
  <x:si>
    <x:t xml:space="preserve">Innovación y patentes</x:t>
  </x:si>
  <x:si>
    <x:t xml:space="preserve">创新提案与专利产出</x:t>
  </x:si>
  <x:si>
    <x:t xml:space="preserve">Propuestas de innovación y patentes</x:t>
  </x:si>
  <x:si>
    <x:r>
      <x:rPr>
        <x:sz val="8"/>
        <x:color rgb="FF1A1A1A"/>
        <x:rFont val="Arial"/>
      </x:rPr>
      <x:t xml:space="preserve">IP/</x:t>
    </x:r>
    <x:r>
      <x:rPr>
        <x:sz val="8"/>
        <x:color rgb="FF1A1A1A"/>
        <x:rFont val="Noto Sans CJK SC"/>
        <x:family val="2"/>
      </x:rPr>
      <x:t xml:space="preserve">知识库</x:t>
    </x:r>
  </x:si>
  <x:si>
    <x:t xml:space="preserve">产品数字化
Product Digitalization
Digitalización de Producto</x:t>
  </x:si>
  <x:si>
    <x:t xml:space="preserve">软件交付达成率</x:t>
  </x:si>
  <x:si>
    <x:t xml:space="preserve">Cumplimiento de entregas de software</x:t>
  </x:si>
  <x:si>
    <x:r>
      <x:rPr>
        <x:sz val="8"/>
        <x:color rgb="FF1A1A1A"/>
        <x:rFont val="Arial"/>
      </x:rPr>
      <x:t xml:space="preserve">Sprint/</x:t>
    </x:r>
    <x:r>
      <x:rPr>
        <x:sz val="8"/>
        <x:color rgb="FF1A1A1A"/>
        <x:rFont val="Noto Sans CJK SC"/>
        <x:family val="2"/>
      </x:rPr>
      <x:t xml:space="preserve">发布按计划交付比例</x:t>
    </x:r>
  </x:si>
  <x:si>
    <x:t xml:space="preserve">% de entregas (sprint/release) a tiempo</x:t>
  </x:si>
  <x:si>
    <x:t xml:space="preserve">Jira/CI</x:t>
  </x:si>
  <x:si>
    <x:t xml:space="preserve">缺陷密度/质量</x:t>
  </x:si>
  <x:si>
    <x:t xml:space="preserve">Densidad de defectos y calidad</x:t>
  </x:si>
  <x:si>
    <x:t xml:space="preserve">每千行/每功能缺陷密度</x:t>
  </x:si>
  <x:si>
    <x:t xml:space="preserve">Densidad de defectos por KLOC/función</x:t>
  </x:si>
  <x:si>
    <x:t xml:space="preserve">质量系统</x:t>
  </x:si>
  <x:si>
    <x:t xml:space="preserve">系统可用性</x:t>
  </x:si>
  <x:si>
    <x:t xml:space="preserve">Disponibilidad del sistema</x:t>
  </x:si>
  <x:si>
    <x:t xml:space="preserve">系统在线率(uptime)</x:t>
  </x:si>
  <x:si>
    <x:t xml:space="preserve">Uptime / disponibilidad del sistema</x:t>
  </x:si>
  <x:si>
    <x:t xml:space="preserve">监控系统</x:t>
  </x:si>
  <x:si>
    <x:t xml:space="preserve">数字功能/OTA上线</x:t>
  </x:si>
  <x:si>
    <x:t xml:space="preserve">Despliegue de funciones/OTA</x:t>
  </x:si>
  <x:si>
    <x:t xml:space="preserve">数字功能或OTA按时上线占比</x:t>
  </x:si>
  <x:si>
    <x:t xml:space="preserve">% de funciones/OTA desplegadas a tiempo</x:t>
  </x:si>
  <x:si>
    <x:t xml:space="preserve">发布记录</x:t>
  </x:si>
  <x:si>
    <x:t xml:space="preserve">网络安全合规</x:t>
  </x:si>
  <x:si>
    <x:t xml:space="preserve">Cumplimiento de ciberseguridad</x:t>
  </x:si>
  <x:si>
    <x:t xml:space="preserve">安全漏洞闭环与合规达成</x:t>
  </x:si>
  <x:si>
    <x:t xml:space="preserve">Vulnerabilidades cerradas y cumplimiento</x:t>
  </x:si>
  <x:si>
    <x:t xml:space="preserve">安全系统</x:t>
  </x:si>
  <x:si>
    <x:t xml:space="preserve">自动驾驶
Autonomous Driving
Conducción Autónoma</x:t>
  </x:si>
  <x:si>
    <x:t xml:space="preserve">功能/算法里程碑</x:t>
  </x:si>
  <x:si>
    <x:t xml:space="preserve">Hitos de funciones/algoritmos</x:t>
  </x:si>
  <x:si>
    <x:t xml:space="preserve">按时达成的功能/算法节点占比</x:t>
  </x:si>
  <x:si>
    <x:t xml:space="preserve">% de hitos de funciones/algoritmos a tiempo</x:t>
  </x:si>
  <x:si>
    <x:t xml:space="preserve">数据闭环</x:t>
  </x:si>
  <x:si>
    <x:t xml:space="preserve">Cierre del ciclo de datos</x:t>
  </x:si>
  <x:si>
    <x:t xml:space="preserve">采集里程/场景覆盖达成</x:t>
  </x:si>
  <x:si>
    <x:t xml:space="preserve">Km recogidos / cobertura de escenarios</x:t>
  </x:si>
  <x:si>
    <x:t xml:space="preserve">数据平台</x:t>
  </x:si>
  <x:si>
    <x:t xml:space="preserve">安全验证指标</x:t>
  </x:si>
  <x:si>
    <x:t xml:space="preserve">Métricas de validación de seguridad</x:t>
  </x:si>
  <x:si>
    <x:t xml:space="preserve">脱离率/MPI等安全指标</x:t>
  </x:si>
  <x:si>
    <x:t xml:space="preserve">Intervenciones / MPI y métricas de seguridad</x:t>
  </x:si>
  <x:si>
    <x:t xml:space="preserve">验证平台</x:t>
  </x:si>
  <x:si>
    <x:t xml:space="preserve">模型性能达成</x:t>
  </x:si>
  <x:si>
    <x:t xml:space="preserve">Rendimiento del modelo</x:t>
  </x:si>
  <x:si>
    <x:t xml:space="preserve">模型性能指标(精度/召回等)达成</x:t>
  </x:si>
  <x:si>
    <x:t xml:space="preserve">Cumplimiento de métricas del modelo</x:t>
  </x:si>
  <x:si>
    <x:t xml:space="preserve">评测系统</x:t>
  </x:si>
  <x:si>
    <x:t xml:space="preserve">功能安全/法规合规</x:t>
  </x:si>
  <x:si>
    <x:t xml:space="preserve">Seguridad funcional y normativa</x:t>
  </x:si>
  <x:si>
    <x:r>
      <x:rPr>
        <x:sz val="8"/>
        <x:color rgb="FF1A1A1A"/>
        <x:rFont val="Arial"/>
      </x:rPr>
      <x:t xml:space="preserve">ISO 26262/SOTIF</x:t>
    </x:r>
    <x:r>
      <x:rPr>
        <x:sz val="8"/>
        <x:color rgb="FF1A1A1A"/>
        <x:rFont val="Noto Sans CJK SC"/>
        <x:family val="2"/>
      </x:rPr>
      <x:t xml:space="preserve">等合规达成</x:t>
    </x:r>
  </x:si>
  <x:si>
    <x:t xml:space="preserve">Cumplimiento ISO 26262 / SOTIF</x:t>
  </x:si>
  <x:si>
    <x:t xml:space="preserve">合规记录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</x:si>
</x:sst>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3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Noto Sans CJK SC"/>
    </x:font>
    <x:font>
      <x:i/>
      <x:sz val="8"/>
      <x:color rgb="FFFFFFFF"/>
      <x:name val="Noto Sans CJK SC"/>
    </x:font>
    <x:font>
      <x:b/>
      <x:sz val="11"/>
      <x:color rgb="FFFFFFFF"/>
      <x:name val="Noto Sans CJK SC"/>
    </x:font>
    <x:font>
      <x:b/>
      <x:sz val="9"/>
      <x:color rgb="FF1A1A1A"/>
      <x:name val="Noto Sans CJK SC"/>
    </x:font>
    <x:font>
      <x:b/>
      <x:sz val="9"/>
      <x:color rgb="FFFFFFFF"/>
      <x:name val="Arial"/>
    </x:font>
    <x:font>
      <x:b/>
      <x:sz val="9"/>
      <x:color rgb="FFFFFFFF"/>
      <x:name val="Noto Sans CJK SC"/>
    </x:font>
    <x:font>
      <x:b/>
      <x:sz val="9"/>
      <x:color rgb="FF1A1A1A"/>
      <x:name val="Arial"/>
    </x:font>
    <x:font>
      <x:sz val="8"/>
      <x:color rgb="FF1A1A1A"/>
      <x:name val="Noto Sans CJK SC"/>
    </x:font>
    <x:font>
      <x:sz val="10"/>
      <x:color rgb="FF0000FF"/>
      <x:name val="Arial"/>
    </x:font>
    <x:font>
      <x:b/>
      <x:sz val="10"/>
      <x:color rgb="FF1A1A1A"/>
      <x:name val="Arial"/>
    </x:font>
    <x:font>
      <x:sz val="8"/>
      <x:color rgb="FF1A1A1A"/>
      <x:name val="Arial"/>
    </x:font>
    <x:font>
      <x:b/>
      <x:sz val="10"/>
      <x:color rgb="FFC00000"/>
      <x:name val="Arial"/>
    </x:font>
    <x:font>
      <x:i/>
      <x:sz val="8"/>
      <x:color rgb="FFC00000"/>
      <x:name val="Noto Sans CJK SC"/>
    </x:font>
    <x:font>
      <x:b/>
      <x:sz val="10"/>
      <x:color rgb="FFFFFFFF"/>
      <x:name val="Noto Sans CJK SC"/>
    </x:font>
    <x:font>
      <x:b/>
      <x:sz val="12"/>
      <x:color rgb="FFFFFFFF"/>
      <x:name val="Arial"/>
    </x:font>
    <x:font>
      <x:b/>
      <x:sz val="11"/>
      <x:color rgb="FFFFFFFF"/>
      <x:name val="Arial"/>
    </x:font>
    <x:font>
      <x:i/>
      <x:sz val="8"/>
      <x:color rgb="FF808080"/>
      <x:name val="Noto Sans CJK SC"/>
    </x:font>
    <x:font>
      <x:sz val="8"/>
      <x:color rgb="FF1A1A1A"/>
      <x:name val="Noto Sans CJK SC"/>
    </x:font>
    <x:font>
      <x:i/>
      <x:sz val="8"/>
      <x:color rgb="FF808080"/>
      <x:name val="Noto Sans CJK SC"/>
    </x:font>
    <x:font>
      <x:i/>
      <x:sz val="8"/>
      <x:color rgb="FF1A1A1A"/>
      <x:name val="Noto Sans CJK SC"/>
    </x:font>
    <x:font>
      <x:b/>
      <x:sz val="13"/>
      <x:color rgb="FFFFFFFF"/>
      <x:name val="Noto Sans CJK SC"/>
    </x:font>
    <x:font>
      <x:i/>
      <x:sz val="9"/>
      <x:color rgb="FFFFFFFF"/>
      <x:name val="Noto Sans CJK SC"/>
    </x:font>
    <x:font>
      <x:b/>
      <x:sz val="11"/>
      <x:color rgb="FFFFFFFF"/>
      <x:name val="Noto Sans CJK SC"/>
    </x:font>
    <x:font>
      <x:sz val="9"/>
      <x:color rgb="FF1A1A1A"/>
      <x:name val="Noto Sans CJK SC"/>
    </x:font>
    <x:font>
      <x:sz val="9"/>
      <x:color rgb="FF1A1A1A"/>
      <x:name val="Arial"/>
    </x:font>
    <x:font>
      <x:sz val="9"/>
      <x:color rgb="FF1A1A1A"/>
      <x:name val="Noto Sans CJK SC"/>
    </x:font>
    <x:font>
      <x:b/>
      <x:sz val="8"/>
      <x:color rgb="FF1A1A1A"/>
      <x:name val="Arial"/>
    </x:font>
    <x:font>
      <x:b/>
      <x:sz val="11"/>
      <x:color rgb="FF1A1A1A"/>
      <x:name val="Arial"/>
    </x:font>
    <x:font>
      <x:sz val="10"/>
      <x:color rgb="FF1A1A1A"/>
      <x:name val="Arial"/>
    </x:font>
    <x:font>
      <x:sz val="9"/>
      <x:color rgb="FF1A1A1A"/>
      <x:name val="Noto Sans CJK SC"/>
    </x:font>
    <x:font>
      <x:b/>
      <x:sz val="12"/>
      <x:color rgb="FFFFFFFF"/>
      <x:name val="Noto Sans CJK SC"/>
    </x:font>
    <x:font>
      <x:b/>
      <x:sz val="9"/>
      <x:color rgb="FFFFFFFF"/>
      <x:name val="Noto Sans CJK SC"/>
    </x:font>
    <x:font>
      <x:b/>
      <x:sz val="9"/>
      <x:color rgb="FFFFFFFF"/>
      <x:name val="Noto Sans CJK SC"/>
    </x:font>
    <x:font>
      <x:sz val="9"/>
      <x:color rgb="FF1A1A1A"/>
      <x:name val="Arial"/>
    </x:font>
    <x:font>
      <x:b/>
      <x:sz val="11"/>
      <x:color rgb="FF1F3864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E5496"/>
      </x:patternFill>
    </x:fill>
    <x:fill>
      <x:patternFill patternType="solid">
        <x:fgColor rgb="FFF2F2F2"/>
      </x:patternFill>
    </x:fill>
    <x:fill>
      <x:patternFill patternType="solid">
        <x:fgColor rgb="FFFFF7CC"/>
      </x:patternFill>
    </x:fill>
    <x:fill>
      <x:patternFill patternType="solid">
        <x:fgColor rgb="FFEAF1FB"/>
      </x:patternFill>
    </x:fill>
    <x:fill>
      <x:patternFill patternType="solid">
        <x:fgColor rgb="FFFFFFFF"/>
      </x:patternFill>
    </x:fill>
    <x:fill>
      <x:patternFill patternType="solid">
        <x:fgColor rgb="FFD6E0F0"/>
      </x:patternFill>
    </x:fill>
    <x:fill>
      <x:patternFill patternType="solid">
        <x:fgColor rgb="FFFFFFFF"/>
      </x:patternFill>
    </x:fill>
  </x:fills>
  <x:borders count="6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>
      <x:left style="none"/>
      <x:right style="thin">
        <x:color rgb="FFBFBFBF"/>
      </x:right>
      <x:top style="none"/>
      <x:bottom style="none"/>
    </x:border>
    <x:border diagonalUp="0" diagonalDown="0">
      <x:left style="thin">
        <x:color rgb="FFBFBFBF"/>
      </x:left>
      <x:right style="thin">
        <x:color rgb="FFBFBFBF"/>
      </x:right>
      <x:top style="none"/>
      <x:bottom style="none"/>
    </x:border>
    <x:border diagonalUp="0" diagonalDown="0">
      <x:left style="thin">
        <x:color rgb="FFBFBFBF"/>
      </x:left>
      <x:right style="none"/>
      <x:top style="none"/>
      <x:bottom style="none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70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center" wrapText="1"/>
    </x:xf>
    <x:xf numFmtId="164" fontId="5" fillId="3" borderId="0" xfId="0" applyFont="1" applyBorder="1" applyAlignment="1">
      <x:alignment horizontal="center" vertical="center" wrapText="1"/>
    </x:xf>
    <x:xf numFmtId="164" fontId="6" fillId="3" borderId="0" xfId="0" applyFont="1" applyBorder="1" applyAlignment="1">
      <x:alignment horizontal="left" vertical="center" wrapText="1"/>
    </x:xf>
    <x:xf numFmtId="164" fontId="7" fillId="4" borderId="1" xfId="0" applyFont="1" applyBorder="1" applyAlignment="1">
      <x:alignment horizontal="left" vertical="center" wrapText="1"/>
    </x:xf>
    <x:xf numFmtId="164" fontId="0" fillId="5" borderId="1" xfId="0" applyFont="0" applyBorder="1" applyAlignment="1">
      <x:alignment horizontal="left" vertical="center" wrapText="1"/>
    </x:xf>
    <x:xf numFmtId="164" fontId="8" fillId="3" borderId="1" xfId="0" applyFont="1" applyBorder="1" applyAlignment="1">
      <x:alignment horizontal="center" vertical="center" wrapText="1"/>
    </x:xf>
    <x:xf numFmtId="164" fontId="9" fillId="3" borderId="1" xfId="0" applyFont="1" applyBorder="1" applyAlignment="1">
      <x:alignment horizontal="center" vertical="center" wrapText="1"/>
    </x:xf>
    <x:xf numFmtId="164" fontId="10" fillId="6" borderId="1" xfId="0" applyFont="1" applyBorder="1" applyAlignment="1">
      <x:alignment horizontal="center" vertical="center" wrapText="1"/>
    </x:xf>
    <x:xf numFmtId="164" fontId="7" fillId="6" borderId="1" xfId="0" applyFont="1" applyBorder="1" applyAlignment="1">
      <x:alignment horizontal="left" vertical="center" wrapText="1"/>
    </x:xf>
    <x:xf numFmtId="164" fontId="11" fillId="6" borderId="1" xfId="0" applyFont="1" applyBorder="1" applyAlignment="1">
      <x:alignment horizontal="left" vertical="center" wrapText="1"/>
    </x:xf>
    <x:xf numFmtId="164" fontId="12" fillId="5" borderId="1" xfId="0" applyFont="1" applyBorder="1" applyAlignment="1">
      <x:alignment horizontal="center" vertical="center" wrapText="1"/>
    </x:xf>
    <x:xf numFmtId="164" fontId="13" fillId="4" borderId="1" xfId="0" applyFont="1" applyBorder="1" applyAlignment="1">
      <x:alignment horizontal="center" vertical="center" wrapText="1"/>
    </x:xf>
    <x:xf numFmtId="164" fontId="14" fillId="5" borderId="1" xfId="0" applyFont="1" applyBorder="1" applyAlignment="1">
      <x:alignment horizontal="left" vertical="center" wrapText="1"/>
    </x:xf>
    <x:xf numFmtId="164" fontId="10" fillId="7" borderId="1" xfId="0" applyFont="1" applyBorder="1" applyAlignment="1">
      <x:alignment horizontal="center" vertical="center" wrapText="1"/>
    </x:xf>
    <x:xf numFmtId="164" fontId="7" fillId="7" borderId="1" xfId="0" applyFont="1" applyBorder="1" applyAlignment="1">
      <x:alignment horizontal="left" vertical="center" wrapText="1"/>
    </x:xf>
    <x:xf numFmtId="164" fontId="11" fillId="7" borderId="1" xfId="0" applyFont="1" applyBorder="1" applyAlignment="1">
      <x:alignment horizontal="left" vertical="center" wrapText="1"/>
    </x:xf>
    <x:xf numFmtId="164" fontId="0" fillId="4" borderId="1" xfId="0" applyFont="0" applyBorder="1" applyAlignment="1">
      <x:alignment horizontal="general" vertical="bottom" wrapText="0"/>
    </x:xf>
    <x:xf numFmtId="164" fontId="7" fillId="4" borderId="1" xfId="0" applyFont="1" applyBorder="1" applyAlignment="1">
      <x:alignment horizontal="right" vertical="center" wrapText="1"/>
    </x:xf>
    <x:xf numFmtId="164" fontId="15" fillId="4" borderId="1" xfId="0" applyFont="1" applyBorder="1" applyAlignment="1">
      <x:alignment horizontal="center" vertical="center" wrapText="1"/>
    </x:xf>
    <x:xf numFmtId="164" fontId="16" fillId="4" borderId="1" xfId="0" applyFont="1" applyBorder="1" applyAlignment="1">
      <x:alignment horizontal="left" vertical="center" wrapText="1"/>
    </x:xf>
    <x:xf numFmtId="164" fontId="0" fillId="3" borderId="1" xfId="0" applyFont="0" applyBorder="1" applyAlignment="1">
      <x:alignment horizontal="general" vertical="bottom" wrapText="0"/>
    </x:xf>
    <x:xf numFmtId="164" fontId="17" fillId="3" borderId="2" xfId="0" applyFont="1" applyBorder="1" applyAlignment="1">
      <x:alignment horizontal="right" vertical="center" wrapText="1"/>
    </x:xf>
    <x:xf numFmtId="164" fontId="18" fillId="3" borderId="1" xfId="0" applyFont="1" applyBorder="1" applyAlignment="1">
      <x:alignment horizontal="center" vertical="center" wrapText="1"/>
    </x:xf>
    <x:xf numFmtId="164" fontId="7" fillId="4" borderId="2" xfId="0" applyFont="1" applyBorder="1" applyAlignment="1">
      <x:alignment horizontal="right" vertical="center" wrapText="1"/>
    </x:xf>
    <x:xf numFmtId="164" fontId="0" fillId="2" borderId="1" xfId="0" applyFont="0" applyBorder="1" applyAlignment="1">
      <x:alignment horizontal="general" vertical="bottom" wrapText="0"/>
    </x:xf>
    <x:xf numFmtId="164" fontId="6" fillId="2" borderId="2" xfId="0" applyFont="1" applyBorder="1" applyAlignment="1">
      <x:alignment horizontal="right" vertical="center" wrapText="1"/>
    </x:xf>
    <x:xf numFmtId="164" fontId="19" fillId="2" borderId="1" xfId="0" applyFont="1" applyBorder="1" applyAlignment="1">
      <x:alignment horizontal="center" vertical="center" wrapText="1"/>
    </x:xf>
    <x:xf numFmtId="164" fontId="20" fillId="5" borderId="1" xfId="0" applyFont="1" applyBorder="1" applyAlignment="1">
      <x:alignment horizontal="left" vertical="center" wrapText="1"/>
    </x:xf>
    <x:xf numFmtId="164" fontId="14" fillId="7" borderId="2" xfId="0" applyFont="1" applyBorder="1" applyAlignment="1">
      <x:alignment horizontal="left" vertical="center" wrapText="1"/>
    </x:xf>
    <x:xf numFmtId="164" fontId="7" fillId="4" borderId="2" xfId="0" applyFont="1" applyBorder="1" applyAlignment="1">
      <x:alignment horizontal="left" vertical="center" wrapText="1"/>
    </x:xf>
    <x:xf numFmtId="164" fontId="22" fillId="7" borderId="1" xfId="0" applyFont="1" applyBorder="1" applyAlignment="1">
      <x:alignment horizontal="left" vertical="center" wrapText="1"/>
    </x:xf>
    <x:xf numFmtId="164" fontId="23" fillId="7" borderId="2" xfId="0" applyFont="1" applyBorder="1" applyAlignment="1">
      <x:alignment horizontal="left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0" fillId="7" borderId="1" xfId="0" applyFont="0" applyBorder="1" applyAlignment="1">
      <x:alignment horizontal="general" vertical="bottom" wrapText="0"/>
    </x:xf>
    <x:xf numFmtId="164" fontId="22" fillId="7" borderId="0" xfId="0" applyFont="1" applyBorder="1" applyAlignment="1">
      <x:alignment horizontal="left" vertical="center" wrapText="1"/>
    </x:xf>
    <x:xf numFmtId="164" fontId="24" fillId="2" borderId="0" xfId="0" applyFont="1" applyBorder="1" applyAlignment="1">
      <x:alignment horizontal="center" vertical="center" wrapText="1"/>
    </x:xf>
    <x:xf numFmtId="164" fontId="25" fillId="3" borderId="0" xfId="0" applyFont="1" applyBorder="1" applyAlignment="1">
      <x:alignment horizontal="center" vertical="center" wrapText="1"/>
    </x:xf>
    <x:xf numFmtId="164" fontId="19" fillId="3" borderId="0" xfId="0" applyFont="1" applyBorder="1" applyAlignment="1">
      <x:alignment horizontal="left" vertical="center" wrapText="1"/>
    </x:xf>
    <x:xf numFmtId="164" fontId="27" fillId="7" borderId="0" xfId="0" applyFont="1" applyBorder="1" applyAlignment="1">
      <x:alignment horizontal="left" vertical="top" wrapText="1"/>
    </x:xf>
    <x:xf numFmtId="164" fontId="28" fillId="7" borderId="0" xfId="0" applyFont="1" applyBorder="1" applyAlignment="1">
      <x:alignment horizontal="left" vertical="top" wrapText="1"/>
    </x:xf>
    <x:xf numFmtId="164" fontId="30" fillId="4" borderId="1" xfId="0" applyFont="1" applyBorder="1" applyAlignment="1">
      <x:alignment horizontal="center" vertical="center" wrapText="1"/>
    </x:xf>
    <x:xf numFmtId="164" fontId="11" fillId="4" borderId="1" xfId="0" applyFont="1" applyBorder="1" applyAlignment="1">
      <x:alignment horizontal="left" vertical="center" wrapText="1"/>
    </x:xf>
    <x:xf numFmtId="164" fontId="30" fillId="7" borderId="1" xfId="0" applyFont="1" applyBorder="1" applyAlignment="1">
      <x:alignment horizontal="center" vertical="center" wrapText="1"/>
    </x:xf>
    <x:xf numFmtId="164" fontId="17" fillId="3" borderId="1" xfId="0" applyFont="1" applyBorder="1" applyAlignment="1">
      <x:alignment horizontal="center" vertical="center" wrapText="1"/>
    </x:xf>
    <x:xf numFmtId="164" fontId="9" fillId="3" borderId="1" xfId="0" applyFont="1" applyBorder="1" applyAlignment="1">
      <x:alignment horizontal="left" vertical="center" wrapText="1"/>
    </x:xf>
    <x:xf numFmtId="164" fontId="31" fillId="8" borderId="1" xfId="0" applyFont="1" applyBorder="1" applyAlignment="1">
      <x:alignment horizontal="center" vertical="center" wrapText="1"/>
    </x:xf>
    <x:xf numFmtId="164" fontId="32" fillId="7" borderId="1" xfId="0" applyFont="1" applyBorder="1" applyAlignment="1">
      <x:alignment horizontal="center" vertical="center" wrapText="1"/>
    </x:xf>
    <x:xf numFmtId="164" fontId="33" fillId="7" borderId="1" xfId="0" applyFont="1" applyBorder="1" applyAlignment="1">
      <x:alignment horizontal="left" vertical="center" wrapText="1"/>
    </x:xf>
    <x:xf numFmtId="164" fontId="14" fillId="7" borderId="1" xfId="0" applyFont="1" applyBorder="1" applyAlignment="1">
      <x:alignment horizontal="left" vertical="center" wrapText="1"/>
    </x:xf>
    <x:xf numFmtId="164" fontId="34" fillId="2" borderId="0" xfId="0" applyFont="1" applyBorder="1" applyAlignment="1">
      <x:alignment horizontal="center" vertical="center" wrapText="1"/>
    </x:xf>
    <x:xf numFmtId="164" fontId="36" fillId="3" borderId="1" xfId="0" applyFont="1" applyBorder="1" applyAlignment="1">
      <x:alignment horizontal="center" vertical="center" wrapText="1"/>
    </x:xf>
    <x:xf numFmtId="164" fontId="37" fillId="6" borderId="1" xfId="0" applyFont="1" applyBorder="1" applyAlignment="1">
      <x:alignment horizontal="left" vertical="center" wrapText="1"/>
    </x:xf>
    <x:xf numFmtId="164" fontId="14" fillId="6" borderId="1" xfId="0" applyFont="1" applyBorder="1" applyAlignment="1">
      <x:alignment horizontal="left" vertical="center" wrapText="1"/>
    </x:xf>
    <x:xf numFmtId="164" fontId="38" fillId="6" borderId="1" xfId="0" applyFont="1" applyBorder="1" applyAlignment="1">
      <x:alignment horizontal="center" vertical="center" wrapText="1"/>
    </x:xf>
    <x:xf numFmtId="164" fontId="37" fillId="7" borderId="1" xfId="0" applyFont="1" applyBorder="1" applyAlignment="1">
      <x:alignment horizontal="left" vertical="center" wrapText="1"/>
    </x:xf>
    <x:xf numFmtId="164" fontId="38" fillId="7" borderId="1" xfId="0" applyFont="1" applyBorder="1" applyAlignment="1">
      <x:alignment horizontal="center" vertical="center" wrapText="1"/>
    </x:xf>
    <x:xf numFmtId="164" fontId="10" fillId="9" borderId="1" xfId="0" applyNumberFormat="1" applyFont="1" applyFill="1" applyBorder="1" applyAlignment="1">
      <x:alignment horizontal="center" vertical="center" wrapText="1"/>
    </x:xf>
    <x:xf numFmtId="164" fontId="7" fillId="9" borderId="1" xfId="0" applyNumberFormat="1" applyFont="1" applyFill="1" applyBorder="1" applyAlignment="1">
      <x:alignment horizontal="left" vertical="center" wrapText="1"/>
    </x:xf>
    <x:xf numFmtId="164" fontId="11" fillId="9" borderId="1" xfId="0" applyNumberFormat="1" applyFont="1" applyFill="1" applyBorder="1" applyAlignment="1">
      <x:alignment horizontal="left" vertical="center" wrapText="1"/>
    </x:xf>
    <x:xf numFmtId="164" fontId="12" fillId="9" borderId="1" xfId="0" applyNumberFormat="1" applyFont="1" applyFill="1" applyBorder="1" applyAlignment="1">
      <x:alignment horizontal="center" vertical="center" wrapText="1"/>
    </x:xf>
    <x:xf numFmtId="164" fontId="13" fillId="9" borderId="1" xfId="0" applyNumberFormat="1" applyFont="1" applyFill="1" applyBorder="1" applyAlignment="1">
      <x:alignment horizontal="center" vertical="center" wrapText="1"/>
    </x:xf>
    <x:xf numFmtId="164" fontId="14" fillId="9" borderId="1" xfId="0" applyNumberFormat="1" applyFont="1" applyFill="1" applyBorder="1" applyAlignment="1">
      <x:alignment horizontal="left" vertical="center" wrapText="1"/>
    </x:xf>
    <x:xf numFmtId="164" fontId="10" fillId="9" borderId="3" xfId="0" applyNumberFormat="1" applyFont="1" applyFill="1" applyBorder="1" applyAlignment="1">
      <x:alignment horizontal="center" vertical="center" wrapText="1"/>
    </x:xf>
    <x:xf numFmtId="164" fontId="7" fillId="9" borderId="4" xfId="0" applyNumberFormat="1" applyFont="1" applyFill="1" applyBorder="1" applyAlignment="1">
      <x:alignment horizontal="left" vertical="center" wrapText="1"/>
    </x:xf>
    <x:xf numFmtId="164" fontId="11" fillId="9" borderId="4" xfId="0" applyNumberFormat="1" applyFont="1" applyFill="1" applyBorder="1" applyAlignment="1">
      <x:alignment horizontal="left" vertical="center" wrapText="1"/>
    </x:xf>
    <x:xf numFmtId="164" fontId="12" fillId="9" borderId="4" xfId="0" applyNumberFormat="1" applyFont="1" applyFill="1" applyBorder="1" applyAlignment="1">
      <x:alignment horizontal="center" vertical="center" wrapText="1"/>
    </x:xf>
    <x:xf numFmtId="164" fontId="13" fillId="9" borderId="4" xfId="0" applyNumberFormat="1" applyFont="1" applyFill="1" applyBorder="1" applyAlignment="1">
      <x:alignment horizontal="center" vertical="center" wrapText="1"/>
    </x:xf>
    <x:xf numFmtId="164" fontId="14" fillId="9" borderId="5" xfId="0" applyNumberFormat="1" applyFont="1" applyFill="1" applyBorder="1" applyAlignment="1">
      <x:alignment horizontal="left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7CC"/>
      <x:rgbColor rgb="FFEAF1FB"/>
      <x:rgbColor rgb="FF660066"/>
      <x:rgbColor rgb="FFFF8080"/>
      <x:rgbColor rgb="FF0066CC"/>
      <x:rgbColor rgb="FFD6E0F0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2F2F2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2E5496"/>
      <x:rgbColor rgb="FF1A1A1A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8f145f4b14a90" /><Relationship Type="http://schemas.openxmlformats.org/officeDocument/2006/relationships/theme" Target="/xl/theme/theme1.xml" Id="Re17d3667e76d44af" /><Relationship Type="http://schemas.openxmlformats.org/officeDocument/2006/relationships/sharedStrings" Target="/xl/sharedStrings.xml" Id="Rba723ad1326f4125" /><Relationship Type="http://schemas.openxmlformats.org/officeDocument/2006/relationships/worksheet" Target="/xl/worksheets/sheet1.xml" Id="R2a021d192aa6414c" /><Relationship Type="http://schemas.openxmlformats.org/officeDocument/2006/relationships/worksheet" Target="/xl/worksheets/sheet2.xml" Id="Rec4e0d04556b4dc9" /><Relationship Type="http://schemas.openxmlformats.org/officeDocument/2006/relationships/worksheet" Target="/xl/worksheets/sheet3.xml" Id="R49233d25834a4e9e" /><Relationship Type="http://schemas.openxmlformats.org/officeDocument/2006/relationships/worksheet" Target="/xl/worksheets/sheet4.xml" Id="R94ad584e93154b4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6.5"/>
  <x:cols>
    <x:col min="1" max="1" width="4" style="1" hidden="0" customWidth="1"/>
    <x:col min="2" max="2" width="26" style="1" hidden="0" customWidth="1"/>
    <x:col min="3" max="3" width="40" style="1" hidden="0" customWidth="1"/>
    <x:col min="4" max="5" width="9" style="1" hidden="0" customWidth="1"/>
    <x:col min="6" max="6" width="10" style="1" hidden="0" customWidth="1"/>
    <x:col min="7" max="7" width="11" style="1" hidden="0" customWidth="1"/>
    <x:col min="8" max="8" width="30" style="1" hidden="0" customWidth="1"/>
  </x:cols>
  <x:sheetData>
    <x:row r="1" ht="36" hidden="0" customHeight="1">
      <x:c r="A1" s="2" t="s">
        <x:v>0</x:v>
      </x:c>
      <x:c r="B1" s="2"/>
      <x:c r="C1" s="2"/>
      <x:c r="D1" s="2"/>
      <x:c r="E1" s="2"/>
      <x:c r="F1" s="2"/>
      <x:c r="G1" s="2"/>
      <x:c r="H1" s="2"/>
    </x:row>
    <x:row r="2" ht="25.5" hidden="0" customHeight="1">
      <x:c r="A2" s="3" t="s">
        <x:v>1</x:v>
      </x:c>
      <x:c r="B2" s="3"/>
      <x:c r="C2" s="3"/>
      <x:c r="D2" s="3"/>
      <x:c r="E2" s="3"/>
      <x:c r="F2" s="3"/>
      <x:c r="G2" s="3"/>
      <x:c r="H2" s="3"/>
    </x:row>
    <x:row r="4" ht="19.5" hidden="0" customHeight="1">
      <x:c r="A4" s="4" t="s">
        <x:v>2</x:v>
      </x:c>
      <x:c r="B4" s="4"/>
      <x:c r="C4" s="4"/>
      <x:c r="D4" s="4"/>
      <x:c r="E4" s="4"/>
      <x:c r="F4" s="4"/>
      <x:c r="G4" s="4"/>
      <x:c r="H4" s="4"/>
    </x:row>
    <x:row r="5" ht="25.5" hidden="0" customHeight="1">
      <x:c r="A5" s="5" t="s">
        <x:v>3</x:v>
      </x:c>
      <x:c r="B5" s="5"/>
      <x:c r="C5" s="6"/>
      <x:c r="D5" s="5" t="s">
        <x:v>4</x:v>
      </x:c>
      <x:c r="E5" s="5"/>
      <x:c r="F5" s="5"/>
      <x:c r="G5" s="6"/>
      <x:c r="H5" s="6"/>
    </x:row>
    <x:row r="6" ht="25.5" hidden="0" customHeight="1">
      <x:c r="A6" s="5" t="s">
        <x:v>5</x:v>
      </x:c>
      <x:c r="B6" s="5"/>
      <x:c r="C6" s="6"/>
      <x:c r="D6" s="5" t="s">
        <x:v>6</x:v>
      </x:c>
      <x:c r="E6" s="5"/>
      <x:c r="F6" s="5"/>
      <x:c r="G6" s="6"/>
      <x:c r="H6" s="6"/>
    </x:row>
    <x:row r="7" ht="25.5" hidden="0" customHeight="1">
      <x:c r="A7" s="5" t="s">
        <x:v>7</x:v>
      </x:c>
      <x:c r="B7" s="5"/>
      <x:c r="C7" s="6"/>
      <x:c r="D7" s="5" t="s">
        <x:v>8</x:v>
      </x:c>
      <x:c r="E7" s="5"/>
      <x:c r="F7" s="5"/>
      <x:c r="G7" s="6"/>
      <x:c r="H7" s="6"/>
    </x:row>
    <x:row r="8" ht="25.5" hidden="0" customHeight="1">
      <x:c r="A8" s="5" t="s">
        <x:v>9</x:v>
      </x:c>
      <x:c r="B8" s="5"/>
      <x:c r="C8" s="6"/>
      <x:c r="D8" s="5" t="s">
        <x:v>10</x:v>
      </x:c>
      <x:c r="E8" s="5"/>
      <x:c r="F8" s="5"/>
      <x:c r="G8" s="6"/>
      <x:c r="H8" s="6"/>
    </x:row>
    <x:row r="9" ht="19.5" hidden="0" customHeight="1">
      <x:c r="A9" s="4" t="s">
        <x:v>11</x:v>
      </x:c>
      <x:c r="B9" s="4"/>
      <x:c r="C9" s="4"/>
      <x:c r="D9" s="4"/>
      <x:c r="E9" s="4"/>
      <x:c r="F9" s="4"/>
      <x:c r="G9" s="4"/>
      <x:c r="H9" s="4"/>
    </x:row>
    <x:row r="10" ht="30" hidden="0" customHeight="1">
      <x:c r="A10" s="7" t="s">
        <x:v>12</x:v>
      </x:c>
      <x:c r="B10" s="8" t="s">
        <x:v>13</x:v>
      </x:c>
      <x:c r="C10" s="8" t="s">
        <x:v>14</x:v>
      </x:c>
      <x:c r="D10" s="8" t="s">
        <x:v>15</x:v>
      </x:c>
      <x:c r="E10" s="8" t="s">
        <x:v>16</x:v>
      </x:c>
      <x:c r="F10" s="8" t="s">
        <x:v>17</x:v>
      </x:c>
      <x:c r="G10" s="8" t="s">
        <x:v>18</x:v>
      </x:c>
      <x:c r="H10" s="8" t="s">
        <x:v>19</x:v>
      </x:c>
    </x:row>
    <x:row r="11" ht="40.5" hidden="0" customHeight="1">
      <x:c r="A11" s="9" t="n">
        <x:v>1</x:v>
      </x:c>
      <x:c r="B11" s="10" t="str">
        <x:v>业绩与目标达成
Desempeño y logro de objetivos</x:v>
      </x:c>
      <x:c r="C11" s="11" t="str">
        <x:v>关键任务/目标的完成度与结果（可参考部门KPI库）
Grado de logro de tareas y objetivos clave (ver biblioteca de KPIs)</x:v>
      </x:c>
      <x:c r="D11" s="12" t="n">
        <x:v>30</x:v>
      </x:c>
      <x:c r="E11" s="12"/>
      <x:c r="F11" s="12"/>
      <x:c r="G11" s="13" t="str">
        <x:f aca="0">IF($F11="","",ROUND($D11*$F11/100,1))</x:f>
      </x:c>
      <x:c r="H11" s="14"/>
    </x:row>
    <x:row r="12" ht="40.5" hidden="0" customHeight="1">
      <x:c r="A12" s="15" t="n">
        <x:v>2</x:v>
      </x:c>
      <x:c r="B12" s="16" t="str">
        <x:v>文化认同与沟通协作
Identificación cultural, comunicación y colaboración</x:v>
      </x:c>
      <x:c r="C12" s="17" t="str">
        <x:v>企业文化认同、沟通协作、知识共享
Identificación con la cultura corporativa, comunicación y colaboración, compartición de conocimiento</x:v>
      </x:c>
      <x:c r="D12" s="12" t="n">
        <x:v>30</x:v>
      </x:c>
      <x:c r="E12" s="12"/>
      <x:c r="F12" s="12"/>
      <x:c r="G12" s="13" t="str">
        <x:f aca="0">IF($F12="","",ROUND($D12*$F12/100,1))</x:f>
      </x:c>
      <x:c r="H12" s="14"/>
    </x:row>
    <x:row r="13" ht="40.5" hidden="0" customHeight="1">
      <x:c r="A13" s="15" t="n">
        <x:v>3</x:v>
      </x:c>
      <x:c r="B13" s="16" t="str">
        <x:v>工作质量与专业能力
Calidad del trabajo y competencia profesional</x:v>
      </x:c>
      <x:c r="C13" s="17" t="str">
        <x:v>专业深度、方案质量、缺陷/返工率、技术文档
Profundidad técnica, calidad, defectos/retrabajo, documentación</x:v>
      </x:c>
      <x:c r="D13" s="12" t="n">
        <x:v>20</x:v>
      </x:c>
      <x:c r="E13" s="12"/>
      <x:c r="F13" s="12"/>
      <x:c r="G13" s="13" t="str">
        <x:f aca="0">IF($F13="","",ROUND($D13*$F13/100,1))</x:f>
      </x:c>
      <x:c r="H13" s="14"/>
    </x:row>
    <x:row r="14" ht="40.5" hidden="0" customHeight="1">
      <x:c r="A14" s="15" t="n">
        <x:v>4</x:v>
      </x:c>
      <x:c r="B14" s="16" t="str">
        <x:v>合规·安全·数据保护
Cumplimiento, seguridad y protección de datos</x:v>
      </x:c>
      <x:c r="C14" s="17" t="str">
        <x:v>流程/法规遵从、功能与试验安全、RGPD与信息安全
Procesos/normativa, seguridad, RGPD y seguridad de la información</x:v>
      </x:c>
      <x:c r="D14" s="12" t="n">
        <x:v>10</x:v>
      </x:c>
      <x:c r="E14" s="12"/>
      <x:c r="F14" s="12"/>
      <x:c r="G14" s="13" t="str">
        <x:f aca="0">IF($F14="","",ROUND($D14*$F14/100,1))</x:f>
      </x:c>
      <x:c r="H14" s="14"/>
    </x:row>
    <x:row r="15" ht="40.5" hidden="0" customHeight="1">
      <x:c r="A15" s="15" t="n">
        <x:v>5</x:v>
      </x:c>
      <x:c r="B15" s="16" t="str">
        <x:v>创新与持续改进
Innovación y mejora continua</x:v>
      </x:c>
      <x:c r="C15" s="17" t="str">
        <x:v>改进提案、复用、效率提升、专利与方法沉淀
Propuestas de mejora, reutilización, eficiencia, patentes</x:v>
      </x:c>
      <x:c r="D15" s="12" t="n">
        <x:v>10</x:v>
      </x:c>
      <x:c r="E15" s="12"/>
      <x:c r="F15" s="12"/>
      <x:c r="G15" s="13" t="str">
        <x:f aca="0">IF($F15="","",ROUND($D15*$F15/100,1))</x:f>
      </x:c>
      <x:c r="H15" s="14"/>
    </x:row>
    <x:row r="16" ht="5" hidden="0" customHeight="1">
      <x:c r="A16" s="64"/>
      <x:c r="B16" s="65"/>
      <x:c r="C16" s="66"/>
      <x:c r="D16" s="67"/>
      <x:c r="E16" s="67"/>
      <x:c r="F16" s="67"/>
      <x:c r="G16" s="68">
        <x:f aca="0"/>
      </x:c>
      <x:c r="H16" s="69"/>
    </x:row>
    <x:row r="17" ht="21.75" hidden="0" customHeight="1">
      <x:c r="A17" s="18"/>
      <x:c r="B17" s="19" t="s">
        <x:v>20</x:v>
      </x:c>
      <x:c r="C17" s="19"/>
      <x:c r="D17" s="20" t="n">
        <x:f aca="0">SUM(D11:D15)</x:f>
        <x:v>100</x:v>
      </x:c>
      <x:c r="E17" s="18"/>
      <x:c r="F17" s="18"/>
      <x:c r="G17" s="18"/>
      <x:c r="H17" s="21" t="s">
        <x:v>21</x:v>
      </x:c>
    </x:row>
    <x:row r="18" ht="24" hidden="0" customHeight="1">
      <x:c r="A18" s="22"/>
      <x:c r="B18" s="23" t="s">
        <x:v>22</x:v>
      </x:c>
      <x:c r="C18" s="23"/>
      <x:c r="D18" s="23"/>
      <x:c r="E18" s="23"/>
      <x:c r="F18" s="23"/>
      <x:c r="G18" s="24" t="str">
        <x:f aca="0">IF(COUNT(F11:F15)&lt;5,"",ROUND(SUM(G11:G15),1))</x:f>
      </x:c>
      <x:c r="H18" s="22"/>
    </x:row>
    <x:row r="19" ht="19.5" hidden="0" customHeight="1">
      <x:c r="A19" s="18"/>
      <x:c r="B19" s="25" t="s">
        <x:v>23</x:v>
      </x:c>
      <x:c r="C19" s="25"/>
      <x:c r="D19" s="25"/>
      <x:c r="E19" s="25"/>
      <x:c r="F19" s="25"/>
      <x:c r="G19" s="13" t="str">
        <x:f aca="0">IF(COUNT(E11:E15)&lt;5,"",ROUND(SUMPRODUCT(D11:D15,E11:E15)/100,1))</x:f>
      </x:c>
      <x:c r="H19" s="18"/>
    </x:row>
    <x:row r="20" ht="25.5" hidden="0" customHeight="1">
      <x:c r="A20" s="26"/>
      <x:c r="B20" s="27" t="s">
        <x:v>24</x:v>
      </x:c>
      <x:c r="C20" s="27"/>
      <x:c r="D20" s="27"/>
      <x:c r="E20" s="27"/>
      <x:c r="F20" s="27"/>
      <x:c r="G20" s="28" t="str">
        <x:f aca="0">IF(G18="","",IF(G18&gt;=90,"A 优秀/Excelente",IF(G18&gt;=80,"B 良好/Bueno",IF(G18&gt;=60,"C 胜任/Competente",IF(G18&gt;=40,"D 待改进/Mejora","E 不胜任/Insuficiente"))))&amp;" · "&amp;ROUND(G18/20,2)&amp;"/5")</x:f>
      </x:c>
      <x:c r="H20" s="28"/>
    </x:row>
    <x:row r="22" ht="19.5" hidden="0" customHeight="1">
      <x:c r="A22" s="4" t="s">
        <x:v>25</x:v>
      </x:c>
      <x:c r="B22" s="4"/>
      <x:c r="C22" s="4"/>
      <x:c r="D22" s="4"/>
      <x:c r="E22" s="4"/>
      <x:c r="F22" s="4"/>
      <x:c r="G22" s="4"/>
      <x:c r="H22" s="4"/>
    </x:row>
    <x:row r="23" ht="45.75" hidden="0" customHeight="1">
      <x:c r="A23" s="5" t="s">
        <x:v>26</x:v>
      </x:c>
      <x:c r="B23" s="5"/>
      <x:c r="C23" s="29" t="s">
        <x:v>27</x:v>
      </x:c>
      <x:c r="D23" s="29"/>
      <x:c r="E23" s="29"/>
      <x:c r="F23" s="29"/>
      <x:c r="G23" s="29"/>
      <x:c r="H23" s="29"/>
    </x:row>
    <x:row r="24" ht="45.75" hidden="0" customHeight="1">
      <x:c r="A24" s="5" t="s">
        <x:v>28</x:v>
      </x:c>
      <x:c r="B24" s="5"/>
      <x:c r="C24" s="29" t="s">
        <x:v>29</x:v>
      </x:c>
      <x:c r="D24" s="29"/>
      <x:c r="E24" s="29"/>
      <x:c r="F24" s="29"/>
      <x:c r="G24" s="29"/>
      <x:c r="H24" s="29"/>
    </x:row>
    <x:row r="25" ht="45.75" hidden="0" customHeight="1">
      <x:c r="A25" s="5" t="s">
        <x:v>30</x:v>
      </x:c>
      <x:c r="B25" s="5"/>
      <x:c r="C25" s="29" t="s">
        <x:v>31</x:v>
      </x:c>
      <x:c r="D25" s="29"/>
      <x:c r="E25" s="29"/>
      <x:c r="F25" s="29"/>
      <x:c r="G25" s="29"/>
      <x:c r="H25" s="29"/>
    </x:row>
    <x:row r="27" ht="19.5" hidden="0" customHeight="1">
      <x:c r="A27" s="4" t="s">
        <x:v>32</x:v>
      </x:c>
      <x:c r="B27" s="4"/>
      <x:c r="C27" s="4"/>
      <x:c r="D27" s="4"/>
      <x:c r="E27" s="4"/>
      <x:c r="F27" s="4"/>
      <x:c r="G27" s="4"/>
      <x:c r="H27" s="4"/>
    </x:row>
    <x:row r="28" ht="49.5" hidden="0" customHeight="1">
      <x:c r="A28" s="30" t="s">
        <x:v>33</x:v>
      </x:c>
      <x:c r="B28" s="30"/>
      <x:c r="C28" s="30"/>
      <x:c r="D28" s="30"/>
      <x:c r="E28" s="30"/>
      <x:c r="F28" s="30"/>
      <x:c r="G28" s="30"/>
      <x:c r="H28" s="30"/>
    </x:row>
    <x:row r="29" ht="21.75" hidden="0" customHeight="1">
      <x:c r="A29" s="31" t="s">
        <x:v>34</x:v>
      </x:c>
      <x:c r="B29" s="31"/>
      <x:c r="C29" s="13" t="str">
        <x:f aca="0">IF(G18="","",IF(G18&lt;60,"是 Sí — 制定改进计划 / elaborar plan","否 No"))</x:f>
      </x:c>
      <x:c r="D29" s="32" t="s">
        <x:v>35</x:v>
      </x:c>
      <x:c r="E29" s="32"/>
      <x:c r="F29" s="32"/>
      <x:c r="G29" s="32"/>
      <x:c r="H29" s="32"/>
    </x:row>
    <x:row r="31" ht="19.5" hidden="0" customHeight="1">
      <x:c r="A31" s="4" t="s">
        <x:v>36</x:v>
      </x:c>
      <x:c r="B31" s="4"/>
      <x:c r="C31" s="4"/>
      <x:c r="D31" s="4"/>
      <x:c r="E31" s="4"/>
      <x:c r="F31" s="4"/>
      <x:c r="G31" s="4"/>
      <x:c r="H31" s="4"/>
    </x:row>
    <x:row r="32" ht="31.5" hidden="0" customHeight="1">
      <x:c r="A32" s="33" t="s">
        <x:v>37</x:v>
      </x:c>
      <x:c r="B32" s="33"/>
      <x:c r="C32" s="33"/>
      <x:c r="D32" s="33"/>
      <x:c r="E32" s="33"/>
      <x:c r="F32" s="33"/>
      <x:c r="G32" s="33"/>
      <x:c r="H32" s="33"/>
    </x:row>
    <x:row r="33" ht="18" hidden="0" customHeight="1">
      <x:c r="A33" s="34" t="s">
        <x:v>38</x:v>
      </x:c>
      <x:c r="B33" s="34"/>
      <x:c r="C33" s="34"/>
      <x:c r="D33" s="34" t="s">
        <x:v>6</x:v>
      </x:c>
      <x:c r="E33" s="34"/>
      <x:c r="F33" s="34"/>
      <x:c r="G33" s="34" t="s">
        <x:v>39</x:v>
      </x:c>
      <x:c r="H33" s="34"/>
    </x:row>
    <x:row r="34" ht="33.75" hidden="0" customHeight="1">
      <x:c r="A34" s="35"/>
      <x:c r="B34" s="35"/>
      <x:c r="C34" s="35"/>
      <x:c r="D34" s="35"/>
      <x:c r="E34" s="35"/>
      <x:c r="F34" s="35"/>
      <x:c r="G34" s="35"/>
      <x:c r="H34" s="35"/>
    </x:row>
    <x:row r="35" ht="18" hidden="0" customHeight="1">
      <x:c r="A35" s="17" t="s">
        <x:v>40</x:v>
      </x:c>
      <x:c r="B35" s="17"/>
      <x:c r="C35" s="17"/>
      <x:c r="D35" s="17" t="s">
        <x:v>40</x:v>
      </x:c>
      <x:c r="E35" s="17"/>
      <x:c r="F35" s="17"/>
      <x:c r="G35" s="17" t="s">
        <x:v>40</x:v>
      </x:c>
      <x:c r="H35" s="17"/>
    </x:row>
    <x:row r="37" ht="25.5" hidden="0" customHeight="1">
      <x:c r="A37" s="36" t="s">
        <x:v>41</x:v>
      </x:c>
      <x:c r="B37" s="36"/>
      <x:c r="C37" s="36"/>
      <x:c r="D37" s="36"/>
      <x:c r="E37" s="36"/>
      <x:c r="F37" s="36"/>
      <x:c r="G37" s="36"/>
      <x:c r="H37" s="36"/>
    </x:row>
  </x:sheetData>
  <x:mergeCells>
    <x:mergeCell ref="A1:H1"/>
    <x:mergeCell ref="A2:H2"/>
    <x:mergeCell ref="A4:H4"/>
    <x:mergeCell ref="A5:B5"/>
    <x:mergeCell ref="D5:F5"/>
    <x:mergeCell ref="G5:H5"/>
    <x:mergeCell ref="A6:B6"/>
    <x:mergeCell ref="D6:F6"/>
    <x:mergeCell ref="G6:H6"/>
    <x:mergeCell ref="A7:B7"/>
    <x:mergeCell ref="D7:F7"/>
    <x:mergeCell ref="G7:H7"/>
    <x:mergeCell ref="A8:B8"/>
    <x:mergeCell ref="D8:F8"/>
    <x:mergeCell ref="G8:H8"/>
    <x:mergeCell ref="A9:H9"/>
    <x:mergeCell ref="B17:C17"/>
    <x:mergeCell ref="B18:F18"/>
    <x:mergeCell ref="B19:F19"/>
    <x:mergeCell ref="B20:F20"/>
    <x:mergeCell ref="G20:H20"/>
    <x:mergeCell ref="A22:H22"/>
    <x:mergeCell ref="A23:B23"/>
    <x:mergeCell ref="C23:H23"/>
    <x:mergeCell ref="A24:B24"/>
    <x:mergeCell ref="C24:H24"/>
    <x:mergeCell ref="A25:B25"/>
    <x:mergeCell ref="C25:H25"/>
    <x:mergeCell ref="A27:H27"/>
    <x:mergeCell ref="A28:H28"/>
    <x:mergeCell ref="A29:B29"/>
    <x:mergeCell ref="D29:H29"/>
    <x:mergeCell ref="A31:H31"/>
    <x:mergeCell ref="A32:H32"/>
    <x:mergeCell ref="A33:C33"/>
    <x:mergeCell ref="D33:F33"/>
    <x:mergeCell ref="G33:H33"/>
    <x:mergeCell ref="A34:C34"/>
    <x:mergeCell ref="D34:F34"/>
    <x:mergeCell ref="G34:H34"/>
    <x:mergeCell ref="A35:C35"/>
    <x:mergeCell ref="D35:F35"/>
    <x:mergeCell ref="G35:H35"/>
    <x:mergeCell ref="A37:H37"/>
  </x:mergeCells>
  <x:dataValidations count="1">
    <x:dataValidation type="whole" errorStyle="stop" operator="between" allowBlank="1" showDropDown="0" showInputMessage="1" showErrorMessage="1" errorTitle="分数超出范围 / Fuera de rango" error="请输入 1–100 之间的整数 / Introduzca un número entero entre 1 y 100." promptTitle="评分 1–100 / Nota 1–100" prompt="A≥90 B≥80 C≥60 D≥40 E&lt;40" sqref="E11:F16">
      <x:formula1>1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6.5"/>
  <x:cols>
    <x:col min="1" max="1" width="3" style="1" hidden="0" customWidth="1"/>
    <x:col min="2" max="4" width="30" style="1" hidden="0" customWidth="1"/>
    <x:col min="5" max="5" width="18" style="1" hidden="0" customWidth="1"/>
  </x:cols>
  <x:sheetData>
    <x:row r="1" ht="45.75" hidden="0" customHeight="1">
      <x:c r="A1" s="37" t="s">
        <x:v>42</x:v>
      </x:c>
      <x:c r="B1" s="37"/>
      <x:c r="C1" s="37"/>
      <x:c r="D1" s="37"/>
      <x:c r="E1" s="37"/>
    </x:row>
    <x:row r="2" ht="30" hidden="0" customHeight="1">
      <x:c r="A2" s="38" t="s">
        <x:v>43</x:v>
      </x:c>
      <x:c r="B2" s="38"/>
      <x:c r="C2" s="38"/>
      <x:c r="D2" s="38"/>
      <x:c r="E2" s="38"/>
    </x:row>
    <x:row r="4" ht="21.75" hidden="0" customHeight="1">
      <x:c r="A4" s="39" t="s">
        <x:v>44</x:v>
      </x:c>
      <x:c r="B4" s="39"/>
      <x:c r="C4" s="39"/>
      <x:c r="D4" s="39"/>
      <x:c r="E4" s="39"/>
    </x:row>
    <x:row r="5" ht="57" hidden="0" customHeight="1">
      <x:c r="A5" s="40" t="s">
        <x:v>45</x:v>
      </x:c>
      <x:c r="B5" s="40"/>
      <x:c r="C5" s="40"/>
      <x:c r="D5" s="40"/>
      <x:c r="E5" s="40"/>
    </x:row>
    <x:row r="7" ht="21.75" hidden="0" customHeight="1">
      <x:c r="A7" s="39" t="s">
        <x:v>46</x:v>
      </x:c>
      <x:c r="B7" s="39"/>
      <x:c r="C7" s="39"/>
      <x:c r="D7" s="39"/>
      <x:c r="E7" s="39"/>
    </x:row>
    <x:row r="8" ht="237" hidden="0" customHeight="1">
      <x:c r="A8" s="40" t="s">
        <x:v>47</x:v>
      </x:c>
      <x:c r="B8" s="40"/>
      <x:c r="C8" s="40"/>
      <x:c r="D8" s="40"/>
      <x:c r="E8" s="40"/>
    </x:row>
    <x:row r="10" ht="21.75" hidden="0" customHeight="1">
      <x:c r="A10" s="39" t="s">
        <x:v>48</x:v>
      </x:c>
      <x:c r="B10" s="39"/>
      <x:c r="C10" s="39"/>
      <x:c r="D10" s="39"/>
      <x:c r="E10" s="39"/>
    </x:row>
    <x:row r="11" ht="117" hidden="0" customHeight="1">
      <x:c r="A11" s="40" t="str">
        <x:v>采用统一的五个评价维度，适用于全体员工。每个维度按 1–100 打分；维度权重之和为 100%（默认权重已给出，各部门可按岗位在合计100%的前提下微调并事先告知）。加权总分 = Σ(权重 × 得分) ÷ 100，为百分制（满分100）；换算分 = 总分 ÷ 20（对应 1–5 分），等级 A≥90、B≥80、C≥60、D≥40、E&lt;40。建议先自评、再主管评，并通过校准会保证一致性。
— — —
Se emplean cinco dimensiones comunes para toda la plantilla. Cada dimensión se puntúa de 1 a 100; la suma de las ponderaciones es 100 % (los pesos por defecto ya están indicados y cada departamento puede ajustarlos por puesto siempre que sumen 100 % y se comuniquen con antelación). Nota total ponderada = Σ(ponderación × nota) ÷ 100, sobre 100; nota convertida = total ÷ 20 (escala 1–5), con calificaciones A≥90, B≥80, C≥60, D≥40, E&lt;40. Se recomienda autoevaluación, luego evaluación del responsable y calibración.</x:v>
      </x:c>
      <x:c r="B11" s="40"/>
      <x:c r="C11" s="40"/>
      <x:c r="D11" s="40"/>
      <x:c r="E11" s="40"/>
    </x:row>
    <x:row r="13" ht="21.75" hidden="0" customHeight="1">
      <x:c r="A13" s="39" t="s">
        <x:v>49</x:v>
      </x:c>
      <x:c r="B13" s="39"/>
      <x:c r="C13" s="39"/>
      <x:c r="D13" s="39"/>
      <x:c r="E13" s="39"/>
    </x:row>
    <x:row r="14" ht="87" hidden="0" customHeight="1">
      <x:c r="A14" s="40" t="s">
        <x:v>50</x:v>
      </x:c>
      <x:c r="B14" s="40"/>
      <x:c r="C14" s="40"/>
      <x:c r="D14" s="40"/>
      <x:c r="E14" s="40"/>
    </x:row>
    <x:row r="16" ht="21.75" hidden="0" customHeight="1">
      <x:c r="A16" s="39" t="s">
        <x:v>51</x:v>
      </x:c>
      <x:c r="B16" s="39"/>
      <x:c r="C16" s="39"/>
      <x:c r="D16" s="39"/>
      <x:c r="E16" s="39"/>
    </x:row>
    <x:row r="17" ht="132" hidden="0" customHeight="1">
      <x:c r="A17" s="41" t="s">
        <x:v>52</x:v>
      </x:c>
      <x:c r="B17" s="41"/>
      <x:c r="C17" s="41"/>
      <x:c r="D17" s="41"/>
      <x:c r="E17" s="41"/>
    </x:row>
    <x:row r="19" ht="21.75" hidden="0" customHeight="1">
      <x:c r="A19" s="39" t="s">
        <x:v>53</x:v>
      </x:c>
      <x:c r="B19" s="39"/>
      <x:c r="C19" s="39"/>
      <x:c r="D19" s="39"/>
      <x:c r="E19" s="39"/>
    </x:row>
    <x:row r="20" ht="57" hidden="0" customHeight="1">
      <x:c r="A20" s="40" t="s">
        <x:v>54</x:v>
      </x:c>
      <x:c r="B20" s="40"/>
      <x:c r="C20" s="40"/>
      <x:c r="D20" s="40"/>
      <x:c r="E20" s="40"/>
    </x:row>
  </x:sheetData>
  <x:mergeCells>
    <x:mergeCell ref="A1:E1"/>
    <x:mergeCell ref="A2:E2"/>
    <x:mergeCell ref="A4:E4"/>
    <x:mergeCell ref="A5:E5"/>
    <x:mergeCell ref="A7:E7"/>
    <x:mergeCell ref="A8:E8"/>
    <x:mergeCell ref="A10:E10"/>
    <x:mergeCell ref="A11:E11"/>
    <x:mergeCell ref="A13:E13"/>
    <x:mergeCell ref="A14:E14"/>
    <x:mergeCell ref="A16:E16"/>
    <x:mergeCell ref="A17:E17"/>
    <x:mergeCell ref="A19:E19"/>
    <x:mergeCell ref="A20:E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6.5"/>
  <x:cols>
    <x:col min="1" max="1" width="22" style="1" hidden="0" customWidth="1"/>
    <x:col min="2" max="6" width="16" style="1" hidden="0" customWidth="1"/>
  </x:cols>
  <x:sheetData>
    <x:row r="1" ht="31.5" hidden="0" customHeight="1">
      <x:c r="A1" s="37" t="s">
        <x:v>55</x:v>
      </x:c>
      <x:c r="B1" s="37"/>
      <x:c r="C1" s="37"/>
      <x:c r="D1" s="37"/>
      <x:c r="E1" s="37"/>
      <x:c r="F1" s="37"/>
    </x:row>
    <x:row r="2" ht="27.75" hidden="0" customHeight="1">
      <x:c r="A2" s="3" t="s">
        <x:v>56</x:v>
      </x:c>
      <x:c r="B2" s="3"/>
      <x:c r="C2" s="3"/>
      <x:c r="D2" s="3"/>
      <x:c r="E2" s="3"/>
      <x:c r="F2" s="3"/>
    </x:row>
    <x:row r="4" ht="24" hidden="0" customHeight="1">
      <x:c r="A4" s="8" t="s">
        <x:v>57</x:v>
      </x:c>
      <x:c r="B4" s="8" t="s">
        <x:v>58</x:v>
      </x:c>
      <x:c r="C4" s="8" t="s">
        <x:v>59</x:v>
      </x:c>
      <x:c r="D4" s="8" t="s">
        <x:v>60</x:v>
      </x:c>
      <x:c r="E4" s="8" t="s">
        <x:v>61</x:v>
      </x:c>
      <x:c r="F4" s="8" t="s">
        <x:v>62</x:v>
      </x:c>
    </x:row>
    <x:row r="5" ht="33.75" hidden="0" customHeight="1">
      <x:c r="A5" s="42" t="s">
        <x:v>63</x:v>
      </x:c>
      <x:c r="B5" s="43" t="s">
        <x:v>64</x:v>
      </x:c>
      <x:c r="C5" s="43" t="s">
        <x:v>65</x:v>
      </x:c>
      <x:c r="D5" s="43" t="s">
        <x:v>66</x:v>
      </x:c>
      <x:c r="E5" s="43" t="s">
        <x:v>67</x:v>
      </x:c>
      <x:c r="F5" s="43" t="s">
        <x:v>68</x:v>
      </x:c>
    </x:row>
    <x:row r="6" ht="33.75" hidden="0" customHeight="1">
      <x:c r="A6" s="44" t="s">
        <x:v>69</x:v>
      </x:c>
      <x:c r="B6" s="17" t="s">
        <x:v>70</x:v>
      </x:c>
      <x:c r="C6" s="17" t="s">
        <x:v>71</x:v>
      </x:c>
      <x:c r="D6" s="17" t="s">
        <x:v>72</x:v>
      </x:c>
      <x:c r="E6" s="17" t="s">
        <x:v>73</x:v>
      </x:c>
      <x:c r="F6" s="17" t="s">
        <x:v>74</x:v>
      </x:c>
    </x:row>
    <x:row r="7" ht="33.75" hidden="0" customHeight="1">
      <x:c r="A7" s="42" t="s">
        <x:v>75</x:v>
      </x:c>
      <x:c r="B7" s="43" t="s">
        <x:v>76</x:v>
      </x:c>
      <x:c r="C7" s="43" t="s">
        <x:v>77</x:v>
      </x:c>
      <x:c r="D7" s="43" t="s">
        <x:v>78</x:v>
      </x:c>
      <x:c r="E7" s="43" t="s">
        <x:v>79</x:v>
      </x:c>
      <x:c r="F7" s="43" t="s">
        <x:v>80</x:v>
      </x:c>
    </x:row>
    <x:row r="8" ht="33.75" hidden="0" customHeight="1">
      <x:c r="A8" s="44" t="s">
        <x:v>81</x:v>
      </x:c>
      <x:c r="B8" s="17" t="s">
        <x:v>82</x:v>
      </x:c>
      <x:c r="C8" s="17" t="s">
        <x:v>83</x:v>
      </x:c>
      <x:c r="D8" s="17" t="s">
        <x:v>84</x:v>
      </x:c>
      <x:c r="E8" s="17" t="s">
        <x:v>85</x:v>
      </x:c>
      <x:c r="F8" s="17" t="s">
        <x:v>86</x:v>
      </x:c>
    </x:row>
    <x:row r="9" ht="33.75" hidden="0" customHeight="1">
      <x:c r="A9" s="42" t="s">
        <x:v>87</x:v>
      </x:c>
      <x:c r="B9" s="43" t="s">
        <x:v>88</x:v>
      </x:c>
      <x:c r="C9" s="43" t="s">
        <x:v>89</x:v>
      </x:c>
      <x:c r="D9" s="43" t="s">
        <x:v>90</x:v>
      </x:c>
      <x:c r="E9" s="43" t="s">
        <x:v>91</x:v>
      </x:c>
      <x:c r="F9" s="43" t="s">
        <x:v>92</x:v>
      </x:c>
    </x:row>
    <x:row r="11" ht="19.5" hidden="0" customHeight="1">
      <x:c r="A11" s="4" t="s">
        <x:v>93</x:v>
      </x:c>
      <x:c r="B11" s="4"/>
      <x:c r="C11" s="4"/>
      <x:c r="D11" s="4"/>
      <x:c r="E11" s="4"/>
      <x:c r="F11" s="4"/>
    </x:row>
    <x:row r="12" ht="21.75" hidden="0" customHeight="1">
      <x:c r="A12" s="45" t="s">
        <x:v>94</x:v>
      </x:c>
      <x:c r="B12" s="8" t="s">
        <x:v>95</x:v>
      </x:c>
      <x:c r="C12" s="46" t="s">
        <x:v>96</x:v>
      </x:c>
      <x:c r="D12" s="46"/>
      <x:c r="E12" s="46" t="s">
        <x:v>97</x:v>
      </x:c>
      <x:c r="F12" s="46"/>
    </x:row>
    <x:row r="13" ht="27.75" hidden="0" customHeight="1">
      <x:c r="A13" s="47" t="s">
        <x:v>98</x:v>
      </x:c>
      <x:c r="B13" s="48" t="s">
        <x:v>99</x:v>
      </x:c>
      <x:c r="C13" s="49" t="s">
        <x:v>100</x:v>
      </x:c>
      <x:c r="D13" s="49"/>
      <x:c r="E13" s="17" t="s">
        <x:v>101</x:v>
      </x:c>
      <x:c r="F13" s="17"/>
    </x:row>
    <x:row r="14" ht="27.75" hidden="0" customHeight="1">
      <x:c r="A14" s="47" t="s">
        <x:v>102</x:v>
      </x:c>
      <x:c r="B14" s="48" t="s">
        <x:v>103</x:v>
      </x:c>
      <x:c r="C14" s="49" t="s">
        <x:v>104</x:v>
      </x:c>
      <x:c r="D14" s="49"/>
      <x:c r="E14" s="17" t="s">
        <x:v>105</x:v>
      </x:c>
      <x:c r="F14" s="17"/>
    </x:row>
    <x:row r="15" ht="27.75" hidden="0" customHeight="1">
      <x:c r="A15" s="47" t="s">
        <x:v>106</x:v>
      </x:c>
      <x:c r="B15" s="48" t="s">
        <x:v>107</x:v>
      </x:c>
      <x:c r="C15" s="49" t="s">
        <x:v>108</x:v>
      </x:c>
      <x:c r="D15" s="49"/>
      <x:c r="E15" s="17" t="s">
        <x:v>109</x:v>
      </x:c>
      <x:c r="F15" s="17"/>
    </x:row>
    <x:row r="16" ht="27.75" hidden="0" customHeight="1">
      <x:c r="A16" s="47" t="s">
        <x:v>110</x:v>
      </x:c>
      <x:c r="B16" s="48" t="s">
        <x:v>111</x:v>
      </x:c>
      <x:c r="C16" s="49" t="s">
        <x:v>112</x:v>
      </x:c>
      <x:c r="D16" s="49"/>
      <x:c r="E16" s="17" t="s">
        <x:v>113</x:v>
      </x:c>
      <x:c r="F16" s="17"/>
    </x:row>
    <x:row r="17" ht="27.75" hidden="0" customHeight="1">
      <x:c r="A17" s="47" t="s">
        <x:v>114</x:v>
      </x:c>
      <x:c r="B17" s="48" t="s">
        <x:v>115</x:v>
      </x:c>
      <x:c r="C17" s="49" t="s">
        <x:v>116</x:v>
      </x:c>
      <x:c r="D17" s="49"/>
      <x:c r="E17" s="50" t="s">
        <x:v>117</x:v>
      </x:c>
      <x:c r="F17" s="50"/>
    </x:row>
  </x:sheetData>
  <x:mergeCells>
    <x:mergeCell ref="A1:F1"/>
    <x:mergeCell ref="A2:F2"/>
    <x:mergeCell ref="A11:F11"/>
    <x:mergeCell ref="C12:D12"/>
    <x:mergeCell ref="E12:F12"/>
    <x:mergeCell ref="C13:D13"/>
    <x:mergeCell ref="E13:F13"/>
    <x:mergeCell ref="C14:D14"/>
    <x:mergeCell ref="E14:F14"/>
    <x:mergeCell ref="C15:D15"/>
    <x:mergeCell ref="E15:F15"/>
    <x:mergeCell ref="C16:D16"/>
    <x:mergeCell ref="E16:F16"/>
    <x:mergeCell ref="C17:D17"/>
    <x:mergeCell ref="E17:F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6.5"/>
  <x:cols>
    <x:col min="1" max="3" width="22" style="1" hidden="0" customWidth="1"/>
    <x:col min="4" max="5" width="30" style="1" hidden="0" customWidth="1"/>
    <x:col min="6" max="6" width="8" style="1" hidden="0" customWidth="1"/>
    <x:col min="7" max="7" width="18" style="1" hidden="0" customWidth="1"/>
  </x:cols>
  <x:sheetData>
    <x:row r="1" ht="31.5" hidden="0" customHeight="1">
      <x:c r="A1" s="51" t="s">
        <x:v>118</x:v>
      </x:c>
      <x:c r="B1" s="51"/>
      <x:c r="C1" s="51"/>
      <x:c r="D1" s="51"/>
      <x:c r="E1" s="51"/>
      <x:c r="F1" s="51"/>
      <x:c r="G1" s="51"/>
    </x:row>
    <x:row r="2" ht="27.75" hidden="0" customHeight="1">
      <x:c r="A2" s="3" t="s">
        <x:v>119</x:v>
      </x:c>
      <x:c r="B2" s="3"/>
      <x:c r="C2" s="3"/>
      <x:c r="D2" s="3"/>
      <x:c r="E2" s="3"/>
      <x:c r="F2" s="3"/>
      <x:c r="G2" s="3"/>
    </x:row>
    <x:row r="3" ht="30" hidden="0" customHeight="1">
      <x:c r="A3" s="8" t="s">
        <x:v>120</x:v>
      </x:c>
      <x:c r="B3" s="7" t="s">
        <x:v>121</x:v>
      </x:c>
      <x:c r="C3" s="7" t="s">
        <x:v>122</x:v>
      </x:c>
      <x:c r="D3" s="8" t="s">
        <x:v>123</x:v>
      </x:c>
      <x:c r="E3" s="7" t="s">
        <x:v>124</x:v>
      </x:c>
      <x:c r="F3" s="8" t="s">
        <x:v>125</x:v>
      </x:c>
      <x:c r="G3" s="8" t="s">
        <x:v>126</x:v>
      </x:c>
    </x:row>
    <x:row r="4" ht="30" hidden="0" customHeight="1">
      <x:c r="A4" s="52" t="s">
        <x:v>127</x:v>
      </x:c>
      <x:c r="B4" s="10" t="s">
        <x:v>128</x:v>
      </x:c>
      <x:c r="C4" s="53" t="s">
        <x:v>129</x:v>
      </x:c>
      <x:c r="D4" s="11" t="s">
        <x:v>130</x:v>
      </x:c>
      <x:c r="E4" s="54" t="s">
        <x:v>131</x:v>
      </x:c>
      <x:c r="F4" s="55" t="s">
        <x:v>132</x:v>
      </x:c>
      <x:c r="G4" s="54" t="s">
        <x:v>133</x:v>
      </x:c>
    </x:row>
    <x:row r="5" ht="30" hidden="0" customHeight="1">
      <x:c r="A5" s="52"/>
      <x:c r="B5" s="10" t="s">
        <x:v>134</x:v>
      </x:c>
      <x:c r="C5" s="53" t="s">
        <x:v>135</x:v>
      </x:c>
      <x:c r="D5" s="11" t="s">
        <x:v>136</x:v>
      </x:c>
      <x:c r="E5" s="54" t="s">
        <x:v>137</x:v>
      </x:c>
      <x:c r="F5" s="55" t="s">
        <x:v>132</x:v>
      </x:c>
      <x:c r="G5" s="11" t="s">
        <x:v>138</x:v>
      </x:c>
    </x:row>
    <x:row r="6" ht="30" hidden="0" customHeight="1">
      <x:c r="A6" s="52"/>
      <x:c r="B6" s="10" t="s">
        <x:v>139</x:v>
      </x:c>
      <x:c r="C6" s="53" t="s">
        <x:v>140</x:v>
      </x:c>
      <x:c r="D6" s="11" t="s">
        <x:v>141</x:v>
      </x:c>
      <x:c r="E6" s="54" t="s">
        <x:v>142</x:v>
      </x:c>
      <x:c r="F6" s="55" t="s">
        <x:v>132</x:v>
      </x:c>
      <x:c r="G6" s="11" t="s">
        <x:v>143</x:v>
      </x:c>
    </x:row>
    <x:row r="7" ht="30" hidden="0" customHeight="1">
      <x:c r="A7" s="52"/>
      <x:c r="B7" s="10" t="s">
        <x:v>144</x:v>
      </x:c>
      <x:c r="C7" s="53" t="s">
        <x:v>145</x:v>
      </x:c>
      <x:c r="D7" s="11" t="s">
        <x:v>146</x:v>
      </x:c>
      <x:c r="E7" s="54" t="s">
        <x:v>147</x:v>
      </x:c>
      <x:c r="F7" s="55" t="s">
        <x:v>132</x:v>
      </x:c>
      <x:c r="G7" s="11" t="s">
        <x:v>148</x:v>
      </x:c>
    </x:row>
    <x:row r="8" ht="30" hidden="0" customHeight="1">
      <x:c r="A8" s="52"/>
      <x:c r="B8" s="10" t="s">
        <x:v>149</x:v>
      </x:c>
      <x:c r="C8" s="53" t="s">
        <x:v>150</x:v>
      </x:c>
      <x:c r="D8" s="11" t="s">
        <x:v>151</x:v>
      </x:c>
      <x:c r="E8" s="54" t="s">
        <x:v>152</x:v>
      </x:c>
      <x:c r="F8" s="55" t="s">
        <x:v>153</x:v>
      </x:c>
      <x:c r="G8" s="54" t="s">
        <x:v>154</x:v>
      </x:c>
    </x:row>
    <x:row r="9" ht="30" hidden="0" customHeight="1">
      <x:c r="A9" s="52" t="s">
        <x:v>155</x:v>
      </x:c>
      <x:c r="B9" s="16" t="s">
        <x:v>156</x:v>
      </x:c>
      <x:c r="C9" s="56" t="s">
        <x:v>157</x:v>
      </x:c>
      <x:c r="D9" s="17" t="s">
        <x:v>158</x:v>
      </x:c>
      <x:c r="E9" s="50" t="s">
        <x:v>159</x:v>
      </x:c>
      <x:c r="F9" s="57" t="s">
        <x:v>132</x:v>
      </x:c>
      <x:c r="G9" s="17" t="s">
        <x:v>160</x:v>
      </x:c>
    </x:row>
    <x:row r="10" ht="30" hidden="0" customHeight="1">
      <x:c r="A10" s="52"/>
      <x:c r="B10" s="16" t="s">
        <x:v>161</x:v>
      </x:c>
      <x:c r="C10" s="56" t="s">
        <x:v>162</x:v>
      </x:c>
      <x:c r="D10" s="17" t="s">
        <x:v>163</x:v>
      </x:c>
      <x:c r="E10" s="50" t="s">
        <x:v>164</x:v>
      </x:c>
      <x:c r="F10" s="57" t="s">
        <x:v>153</x:v>
      </x:c>
      <x:c r="G10" s="17" t="s">
        <x:v>165</x:v>
      </x:c>
    </x:row>
    <x:row r="11" ht="30" hidden="0" customHeight="1">
      <x:c r="A11" s="52"/>
      <x:c r="B11" s="16" t="s">
        <x:v>166</x:v>
      </x:c>
      <x:c r="C11" s="56" t="s">
        <x:v>167</x:v>
      </x:c>
      <x:c r="D11" s="17" t="s">
        <x:v>168</x:v>
      </x:c>
      <x:c r="E11" s="50" t="s">
        <x:v>169</x:v>
      </x:c>
      <x:c r="F11" s="57" t="s">
        <x:v>132</x:v>
      </x:c>
      <x:c r="G11" s="17" t="s">
        <x:v>143</x:v>
      </x:c>
    </x:row>
    <x:row r="12" ht="30" hidden="0" customHeight="1">
      <x:c r="A12" s="52"/>
      <x:c r="B12" s="16" t="s">
        <x:v>170</x:v>
      </x:c>
      <x:c r="C12" s="56" t="s">
        <x:v>171</x:v>
      </x:c>
      <x:c r="D12" s="17" t="s">
        <x:v>172</x:v>
      </x:c>
      <x:c r="E12" s="50" t="s">
        <x:v>173</x:v>
      </x:c>
      <x:c r="F12" s="57" t="s">
        <x:v>132</x:v>
      </x:c>
      <x:c r="G12" s="17" t="s">
        <x:v>174</x:v>
      </x:c>
    </x:row>
    <x:row r="13" ht="30" hidden="0" customHeight="1">
      <x:c r="A13" s="52"/>
      <x:c r="B13" s="16" t="s">
        <x:v>175</x:v>
      </x:c>
      <x:c r="C13" s="56" t="s">
        <x:v>176</x:v>
      </x:c>
      <x:c r="D13" s="17" t="s">
        <x:v>177</x:v>
      </x:c>
      <x:c r="E13" s="50" t="s">
        <x:v>178</x:v>
      </x:c>
      <x:c r="F13" s="57" t="s">
        <x:v>132</x:v>
      </x:c>
      <x:c r="G13" s="17" t="s">
        <x:v>179</x:v>
      </x:c>
    </x:row>
    <x:row r="14" ht="30" hidden="0" customHeight="1">
      <x:c r="A14" s="52" t="s">
        <x:v>180</x:v>
      </x:c>
      <x:c r="B14" s="10" t="s">
        <x:v>181</x:v>
      </x:c>
      <x:c r="C14" s="53" t="s">
        <x:v>182</x:v>
      </x:c>
      <x:c r="D14" s="11" t="s">
        <x:v>183</x:v>
      </x:c>
      <x:c r="E14" s="54" t="s">
        <x:v>184</x:v>
      </x:c>
      <x:c r="F14" s="55" t="s">
        <x:v>132</x:v>
      </x:c>
      <x:c r="G14" s="11" t="s">
        <x:v>143</x:v>
      </x:c>
    </x:row>
    <x:row r="15" ht="30" hidden="0" customHeight="1">
      <x:c r="A15" s="52"/>
      <x:c r="B15" s="10" t="s">
        <x:v>185</x:v>
      </x:c>
      <x:c r="C15" s="53" t="s">
        <x:v>186</x:v>
      </x:c>
      <x:c r="D15" s="54" t="s">
        <x:v>187</x:v>
      </x:c>
      <x:c r="E15" s="54" t="s">
        <x:v>188</x:v>
      </x:c>
      <x:c r="F15" s="55" t="s">
        <x:v>153</x:v>
      </x:c>
      <x:c r="G15" s="54" t="s">
        <x:v>189</x:v>
      </x:c>
    </x:row>
    <x:row r="16" ht="30" hidden="0" customHeight="1">
      <x:c r="A16" s="52"/>
      <x:c r="B16" s="10" t="s">
        <x:v>190</x:v>
      </x:c>
      <x:c r="C16" s="53" t="s">
        <x:v>191</x:v>
      </x:c>
      <x:c r="D16" s="54" t="s">
        <x:v>192</x:v>
      </x:c>
      <x:c r="E16" s="54" t="s">
        <x:v>193</x:v>
      </x:c>
      <x:c r="F16" s="55" t="s">
        <x:v>132</x:v>
      </x:c>
      <x:c r="G16" s="11" t="s">
        <x:v>194</x:v>
      </x:c>
    </x:row>
    <x:row r="17" ht="30" hidden="0" customHeight="1">
      <x:c r="A17" s="52"/>
      <x:c r="B17" s="10" t="s">
        <x:v>195</x:v>
      </x:c>
      <x:c r="C17" s="53" t="s">
        <x:v>196</x:v>
      </x:c>
      <x:c r="D17" s="11" t="s">
        <x:v>197</x:v>
      </x:c>
      <x:c r="E17" s="54" t="s">
        <x:v>198</x:v>
      </x:c>
      <x:c r="F17" s="55" t="s">
        <x:v>132</x:v>
      </x:c>
      <x:c r="G17" s="11" t="s">
        <x:v>143</x:v>
      </x:c>
    </x:row>
    <x:row r="18" ht="30" hidden="0" customHeight="1">
      <x:c r="A18" s="52"/>
      <x:c r="B18" s="10" t="s">
        <x:v>199</x:v>
      </x:c>
      <x:c r="C18" s="53" t="s">
        <x:v>200</x:v>
      </x:c>
      <x:c r="D18" s="11" t="s">
        <x:v>201</x:v>
      </x:c>
      <x:c r="E18" s="54" t="s">
        <x:v>202</x:v>
      </x:c>
      <x:c r="F18" s="55" t="s">
        <x:v>132</x:v>
      </x:c>
      <x:c r="G18" s="11" t="s">
        <x:v>203</x:v>
      </x:c>
    </x:row>
    <x:row r="19" ht="30" hidden="0" customHeight="1">
      <x:c r="A19" s="52" t="s">
        <x:v>204</x:v>
      </x:c>
      <x:c r="B19" s="16" t="s">
        <x:v>205</x:v>
      </x:c>
      <x:c r="C19" s="56" t="s">
        <x:v>206</x:v>
      </x:c>
      <x:c r="D19" s="17" t="s">
        <x:v>207</x:v>
      </x:c>
      <x:c r="E19" s="50" t="s">
        <x:v>208</x:v>
      </x:c>
      <x:c r="F19" s="57" t="s">
        <x:v>132</x:v>
      </x:c>
      <x:c r="G19" s="17" t="s">
        <x:v>209</x:v>
      </x:c>
    </x:row>
    <x:row r="20" ht="30" hidden="0" customHeight="1">
      <x:c r="A20" s="52"/>
      <x:c r="B20" s="16" t="s">
        <x:v>210</x:v>
      </x:c>
      <x:c r="C20" s="56" t="s">
        <x:v>211</x:v>
      </x:c>
      <x:c r="D20" s="17" t="s">
        <x:v>212</x:v>
      </x:c>
      <x:c r="E20" s="50" t="s">
        <x:v>213</x:v>
      </x:c>
      <x:c r="F20" s="57" t="s">
        <x:v>132</x:v>
      </x:c>
      <x:c r="G20" s="17" t="s">
        <x:v>214</x:v>
      </x:c>
    </x:row>
    <x:row r="21" ht="30" hidden="0" customHeight="1">
      <x:c r="A21" s="52"/>
      <x:c r="B21" s="16" t="s">
        <x:v>215</x:v>
      </x:c>
      <x:c r="C21" s="56" t="s">
        <x:v>216</x:v>
      </x:c>
      <x:c r="D21" s="17" t="s">
        <x:v>217</x:v>
      </x:c>
      <x:c r="E21" s="50" t="s">
        <x:v>218</x:v>
      </x:c>
      <x:c r="F21" s="57" t="s">
        <x:v>132</x:v>
      </x:c>
      <x:c r="G21" s="17" t="s">
        <x:v>219</x:v>
      </x:c>
    </x:row>
    <x:row r="22" ht="30" hidden="0" customHeight="1">
      <x:c r="A22" s="52"/>
      <x:c r="B22" s="16" t="s">
        <x:v>220</x:v>
      </x:c>
      <x:c r="C22" s="56" t="s">
        <x:v>221</x:v>
      </x:c>
      <x:c r="D22" s="50" t="s">
        <x:v>222</x:v>
      </x:c>
      <x:c r="E22" s="50" t="s">
        <x:v>223</x:v>
      </x:c>
      <x:c r="F22" s="57" t="s">
        <x:v>132</x:v>
      </x:c>
      <x:c r="G22" s="17" t="s">
        <x:v>224</x:v>
      </x:c>
    </x:row>
    <x:row r="23" ht="30" hidden="0" customHeight="1">
      <x:c r="A23" s="52"/>
      <x:c r="B23" s="16" t="s">
        <x:v>225</x:v>
      </x:c>
      <x:c r="C23" s="56" t="s">
        <x:v>226</x:v>
      </x:c>
      <x:c r="D23" s="17" t="s">
        <x:v>227</x:v>
      </x:c>
      <x:c r="E23" s="50" t="s">
        <x:v>228</x:v>
      </x:c>
      <x:c r="F23" s="57" t="s">
        <x:v>153</x:v>
      </x:c>
      <x:c r="G23" s="50" t="s">
        <x:v>229</x:v>
      </x:c>
    </x:row>
    <x:row r="24" ht="30" hidden="0" customHeight="1">
      <x:c r="A24" s="52" t="s">
        <x:v>230</x:v>
      </x:c>
      <x:c r="B24" s="10" t="s">
        <x:v>231</x:v>
      </x:c>
      <x:c r="C24" s="53" t="s">
        <x:v>232</x:v>
      </x:c>
      <x:c r="D24" s="11" t="s">
        <x:v>233</x:v>
      </x:c>
      <x:c r="E24" s="54" t="s">
        <x:v>234</x:v>
      </x:c>
      <x:c r="F24" s="55" t="s">
        <x:v>132</x:v>
      </x:c>
      <x:c r="G24" s="11" t="s">
        <x:v>235</x:v>
      </x:c>
    </x:row>
    <x:row r="25" ht="30" hidden="0" customHeight="1">
      <x:c r="A25" s="52"/>
      <x:c r="B25" s="10" t="s">
        <x:v>236</x:v>
      </x:c>
      <x:c r="C25" s="53" t="s">
        <x:v>237</x:v>
      </x:c>
      <x:c r="D25" s="11" t="s">
        <x:v>238</x:v>
      </x:c>
      <x:c r="E25" s="54" t="s">
        <x:v>239</x:v>
      </x:c>
      <x:c r="F25" s="55" t="s">
        <x:v>132</x:v>
      </x:c>
      <x:c r="G25" s="11" t="s">
        <x:v>209</x:v>
      </x:c>
    </x:row>
    <x:row r="26" ht="30" hidden="0" customHeight="1">
      <x:c r="A26" s="52"/>
      <x:c r="B26" s="10" t="s">
        <x:v>240</x:v>
      </x:c>
      <x:c r="C26" s="53" t="s">
        <x:v>241</x:v>
      </x:c>
      <x:c r="D26" s="11" t="s">
        <x:v>242</x:v>
      </x:c>
      <x:c r="E26" s="54" t="s">
        <x:v>243</x:v>
      </x:c>
      <x:c r="F26" s="55" t="s">
        <x:v>132</x:v>
      </x:c>
      <x:c r="G26" s="11" t="s">
        <x:v>143</x:v>
      </x:c>
    </x:row>
    <x:row r="27" ht="30" hidden="0" customHeight="1">
      <x:c r="A27" s="52"/>
      <x:c r="B27" s="10" t="s">
        <x:v>244</x:v>
      </x:c>
      <x:c r="C27" s="53" t="s">
        <x:v>245</x:v>
      </x:c>
      <x:c r="D27" s="11" t="s">
        <x:v>246</x:v>
      </x:c>
      <x:c r="E27" s="54" t="s">
        <x:v>247</x:v>
      </x:c>
      <x:c r="F27" s="55" t="s">
        <x:v>153</x:v>
      </x:c>
      <x:c r="G27" s="54" t="s">
        <x:v>248</x:v>
      </x:c>
    </x:row>
    <x:row r="28" ht="30" hidden="0" customHeight="1">
      <x:c r="A28" s="52"/>
      <x:c r="B28" s="10" t="s">
        <x:v>249</x:v>
      </x:c>
      <x:c r="C28" s="53" t="s">
        <x:v>250</x:v>
      </x:c>
      <x:c r="D28" s="11" t="s">
        <x:v>251</x:v>
      </x:c>
      <x:c r="E28" s="54" t="s">
        <x:v>252</x:v>
      </x:c>
      <x:c r="F28" s="55" t="s">
        <x:v>132</x:v>
      </x:c>
      <x:c r="G28" s="54" t="s">
        <x:v>253</x:v>
      </x:c>
    </x:row>
    <x:row r="29" ht="30" hidden="0" customHeight="1">
      <x:c r="A29" s="52" t="s">
        <x:v>254</x:v>
      </x:c>
      <x:c r="B29" s="16" t="s">
        <x:v>255</x:v>
      </x:c>
      <x:c r="C29" s="56" t="s">
        <x:v>256</x:v>
      </x:c>
      <x:c r="D29" s="50" t="s">
        <x:v>257</x:v>
      </x:c>
      <x:c r="E29" s="50" t="s">
        <x:v>258</x:v>
      </x:c>
      <x:c r="F29" s="57" t="s">
        <x:v>132</x:v>
      </x:c>
      <x:c r="G29" s="50" t="s">
        <x:v>259</x:v>
      </x:c>
    </x:row>
    <x:row r="30" ht="30" hidden="0" customHeight="1">
      <x:c r="A30" s="52"/>
      <x:c r="B30" s="16" t="s">
        <x:v>260</x:v>
      </x:c>
      <x:c r="C30" s="56" t="s">
        <x:v>261</x:v>
      </x:c>
      <x:c r="D30" s="17" t="s">
        <x:v>262</x:v>
      </x:c>
      <x:c r="E30" s="50" t="s">
        <x:v>263</x:v>
      </x:c>
      <x:c r="F30" s="57" t="s">
        <x:v>153</x:v>
      </x:c>
      <x:c r="G30" s="17" t="s">
        <x:v>264</x:v>
      </x:c>
    </x:row>
    <x:row r="31" ht="30" hidden="0" customHeight="1">
      <x:c r="A31" s="52"/>
      <x:c r="B31" s="16" t="s">
        <x:v>265</x:v>
      </x:c>
      <x:c r="C31" s="56" t="s">
        <x:v>266</x:v>
      </x:c>
      <x:c r="D31" s="17" t="s">
        <x:v>267</x:v>
      </x:c>
      <x:c r="E31" s="50" t="s">
        <x:v>268</x:v>
      </x:c>
      <x:c r="F31" s="57" t="s">
        <x:v>132</x:v>
      </x:c>
      <x:c r="G31" s="17" t="s">
        <x:v>269</x:v>
      </x:c>
    </x:row>
    <x:row r="32" ht="30" hidden="0" customHeight="1">
      <x:c r="A32" s="52"/>
      <x:c r="B32" s="16" t="s">
        <x:v>270</x:v>
      </x:c>
      <x:c r="C32" s="56" t="s">
        <x:v>271</x:v>
      </x:c>
      <x:c r="D32" s="17" t="s">
        <x:v>272</x:v>
      </x:c>
      <x:c r="E32" s="50" t="s">
        <x:v>273</x:v>
      </x:c>
      <x:c r="F32" s="57" t="s">
        <x:v>132</x:v>
      </x:c>
      <x:c r="G32" s="17" t="s">
        <x:v>274</x:v>
      </x:c>
    </x:row>
    <x:row r="33" ht="30" hidden="0" customHeight="1">
      <x:c r="A33" s="52"/>
      <x:c r="B33" s="16" t="s">
        <x:v>275</x:v>
      </x:c>
      <x:c r="C33" s="56" t="s">
        <x:v>276</x:v>
      </x:c>
      <x:c r="D33" s="17" t="s">
        <x:v>277</x:v>
      </x:c>
      <x:c r="E33" s="50" t="s">
        <x:v>278</x:v>
      </x:c>
      <x:c r="F33" s="57" t="s">
        <x:v>132</x:v>
      </x:c>
      <x:c r="G33" s="17" t="s">
        <x:v>279</x:v>
      </x:c>
    </x:row>
    <x:row r="34" ht="30" hidden="0" customHeight="1">
      <x:c r="A34" s="52" t="s">
        <x:v>280</x:v>
      </x:c>
      <x:c r="B34" s="10" t="s">
        <x:v>281</x:v>
      </x:c>
      <x:c r="C34" s="53" t="s">
        <x:v>282</x:v>
      </x:c>
      <x:c r="D34" s="11" t="s">
        <x:v>283</x:v>
      </x:c>
      <x:c r="E34" s="54" t="s">
        <x:v>284</x:v>
      </x:c>
      <x:c r="F34" s="55" t="s">
        <x:v>132</x:v>
      </x:c>
      <x:c r="G34" s="11" t="s">
        <x:v>143</x:v>
      </x:c>
    </x:row>
    <x:row r="35" ht="30" hidden="0" customHeight="1">
      <x:c r="A35" s="52"/>
      <x:c r="B35" s="10" t="s">
        <x:v>285</x:v>
      </x:c>
      <x:c r="C35" s="53" t="s">
        <x:v>286</x:v>
      </x:c>
      <x:c r="D35" s="11" t="s">
        <x:v>287</x:v>
      </x:c>
      <x:c r="E35" s="54" t="s">
        <x:v>288</x:v>
      </x:c>
      <x:c r="F35" s="55" t="s">
        <x:v>132</x:v>
      </x:c>
      <x:c r="G35" s="11" t="s">
        <x:v>289</x:v>
      </x:c>
    </x:row>
    <x:row r="36" ht="30" hidden="0" customHeight="1">
      <x:c r="A36" s="52"/>
      <x:c r="B36" s="10" t="s">
        <x:v>290</x:v>
      </x:c>
      <x:c r="C36" s="53" t="s">
        <x:v>291</x:v>
      </x:c>
      <x:c r="D36" s="11" t="s">
        <x:v>292</x:v>
      </x:c>
      <x:c r="E36" s="54" t="s">
        <x:v>293</x:v>
      </x:c>
      <x:c r="F36" s="55" t="s">
        <x:v>132</x:v>
      </x:c>
      <x:c r="G36" s="11" t="s">
        <x:v>294</x:v>
      </x:c>
    </x:row>
    <x:row r="37" ht="30" hidden="0" customHeight="1">
      <x:c r="A37" s="52"/>
      <x:c r="B37" s="10" t="s">
        <x:v>295</x:v>
      </x:c>
      <x:c r="C37" s="53" t="s">
        <x:v>296</x:v>
      </x:c>
      <x:c r="D37" s="11" t="s">
        <x:v>297</x:v>
      </x:c>
      <x:c r="E37" s="54" t="s">
        <x:v>298</x:v>
      </x:c>
      <x:c r="F37" s="55" t="s">
        <x:v>132</x:v>
      </x:c>
      <x:c r="G37" s="11" t="s">
        <x:v>299</x:v>
      </x:c>
    </x:row>
    <x:row r="38" ht="30" hidden="0" customHeight="1">
      <x:c r="A38" s="52"/>
      <x:c r="B38" s="10" t="s">
        <x:v>300</x:v>
      </x:c>
      <x:c r="C38" s="53" t="s">
        <x:v>301</x:v>
      </x:c>
      <x:c r="D38" s="54" t="s">
        <x:v>302</x:v>
      </x:c>
      <x:c r="E38" s="54" t="s">
        <x:v>303</x:v>
      </x:c>
      <x:c r="F38" s="55" t="s">
        <x:v>132</x:v>
      </x:c>
      <x:c r="G38" s="11" t="s">
        <x:v>304</x:v>
      </x:c>
    </x:row>
  </x:sheetData>
  <x:mergeCells>
    <x:mergeCell ref="A1:G1"/>
    <x:mergeCell ref="A2:G2"/>
    <x:mergeCell ref="A4:A8"/>
    <x:mergeCell ref="A9:A13"/>
    <x:mergeCell ref="A14:A18"/>
    <x:mergeCell ref="A19:A23"/>
    <x:mergeCell ref="A24:A28"/>
    <x:mergeCell ref="A29:A33"/>
    <x:mergeCell ref="A34:A38"/>
  </x:mergeCells>
  <x:pageMargins left="0.7" right="0.7" top="0.75" bottom="0.75" header="0.3" footer="0.3"/>
</x:worksheet>
</file>