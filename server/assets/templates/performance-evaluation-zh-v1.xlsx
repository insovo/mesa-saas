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绩效评分表" sheetId="1" state="visible" r:id="rId1"/>
    <sheet xmlns:r="http://schemas.openxmlformats.org/officeDocument/2006/relationships" name="使用说明" sheetId="2" state="visible" r:id="rId2"/>
    <sheet xmlns:r="http://schemas.openxmlformats.org/officeDocument/2006/relationships" name="评分标准" sheetId="3" state="visible" r:id="rId3"/>
    <sheet xmlns:r="http://schemas.openxmlformats.org/officeDocument/2006/relationships" name="部门KPI参考库" sheetId="4" state="visible" r:id="rId4"/>
  </sheets>
  <definedNames/>
</workbook>
</file>

<file path=xl/styles.xml><?xml version="1.0" encoding="utf-8"?>
<styleSheet xmlns="http://schemas.openxmlformats.org/spreadsheetml/2006/main">
  <numFmts count="0"/>
  <fonts count="40">
    <font>
      <name val="Calibri"/>
      <color theme="1"/>
      <sz val="11"/>
    </font>
    <font>
      <name val="Arial"/>
      <sz val="10"/>
    </font>
    <font>
      <name val="Arial"/>
      <sz val="10"/>
    </font>
    <font>
      <name val="Arial"/>
      <sz val="10"/>
    </font>
    <font>
      <name val="Noto Sans CJK SC"/>
      <b val="1"/>
      <color rgb="FFFFFFFF"/>
      <sz val="14"/>
    </font>
    <font>
      <name val="Noto Sans CJK SC"/>
      <i val="1"/>
      <color rgb="FFFFFFFF"/>
      <sz val="8"/>
    </font>
    <font>
      <name val="Noto Sans CJK SC"/>
      <b val="1"/>
      <color rgb="FFFFFFFF"/>
      <sz val="11"/>
    </font>
    <font>
      <name val="Noto Sans CJK SC"/>
      <b val="1"/>
      <color rgb="FF1A1A1A"/>
      <sz val="9"/>
    </font>
    <font>
      <name val="Arial"/>
      <b val="1"/>
      <color rgb="FFFFFFFF"/>
      <sz val="9"/>
    </font>
    <font>
      <name val="Noto Sans CJK SC"/>
      <b val="1"/>
      <color rgb="FFFFFFFF"/>
      <sz val="9"/>
    </font>
    <font>
      <name val="Arial"/>
      <b val="1"/>
      <color rgb="FF1A1A1A"/>
      <sz val="9"/>
    </font>
    <font>
      <name val="Noto Sans CJK SC"/>
      <color rgb="FF1A1A1A"/>
      <sz val="8"/>
    </font>
    <font>
      <name val="Arial"/>
      <color rgb="FF0000FF"/>
      <sz val="10"/>
    </font>
    <font>
      <name val="Arial"/>
      <b val="1"/>
      <color rgb="FF1A1A1A"/>
      <sz val="10"/>
    </font>
    <font>
      <name val="Arial"/>
      <color rgb="FF1A1A1A"/>
      <sz val="8"/>
    </font>
    <font>
      <name val="Arial"/>
      <b val="1"/>
      <color rgb="FFC00000"/>
      <sz val="10"/>
    </font>
    <font>
      <name val="Noto Sans CJK SC"/>
      <i val="1"/>
      <color rgb="FFC00000"/>
      <sz val="8"/>
    </font>
    <font>
      <name val="Noto Sans CJK SC"/>
      <b val="1"/>
      <color rgb="FFFFFFFF"/>
      <sz val="10"/>
    </font>
    <font>
      <name val="Arial"/>
      <b val="1"/>
      <color rgb="FFFFFFFF"/>
      <sz val="12"/>
    </font>
    <font>
      <name val="Arial"/>
      <b val="1"/>
      <color rgb="FFFFFFFF"/>
      <sz val="11"/>
    </font>
    <font>
      <name val="Noto Sans CJK SC"/>
      <i val="1"/>
      <color rgb="FF808080"/>
      <sz val="8"/>
    </font>
    <font>
      <name val="Noto Sans CJK SC"/>
      <color rgb="FF1A1A1A"/>
      <sz val="8"/>
    </font>
    <font>
      <name val="Noto Sans CJK SC"/>
      <i val="1"/>
      <color rgb="FF808080"/>
      <sz val="8"/>
    </font>
    <font>
      <name val="Noto Sans CJK SC"/>
      <i val="1"/>
      <color rgb="FF1A1A1A"/>
      <sz val="8"/>
    </font>
    <font>
      <name val="Noto Sans CJK SC"/>
      <b val="1"/>
      <color rgb="FFFFFFFF"/>
      <sz val="13"/>
    </font>
    <font>
      <name val="Noto Sans CJK SC"/>
      <i val="1"/>
      <color rgb="FFFFFFFF"/>
      <sz val="9"/>
    </font>
    <font>
      <name val="Noto Sans CJK SC"/>
      <b val="1"/>
      <color rgb="FFFFFFFF"/>
      <sz val="11"/>
    </font>
    <font>
      <name val="Noto Sans CJK SC"/>
      <color rgb="FF1A1A1A"/>
      <sz val="9"/>
    </font>
    <font>
      <name val="Arial"/>
      <color rgb="FF1A1A1A"/>
      <sz val="9"/>
    </font>
    <font>
      <name val="Noto Sans CJK SC"/>
      <color rgb="FF1A1A1A"/>
      <sz val="9"/>
    </font>
    <font>
      <name val="Arial"/>
      <b val="1"/>
      <color rgb="FF1A1A1A"/>
      <sz val="8"/>
    </font>
    <font>
      <name val="Arial"/>
      <b val="1"/>
      <color rgb="FF1A1A1A"/>
      <sz val="11"/>
    </font>
    <font>
      <name val="Arial"/>
      <color rgb="FF1A1A1A"/>
      <sz val="10"/>
    </font>
    <font>
      <name val="Noto Sans CJK SC"/>
      <color rgb="FF1A1A1A"/>
      <sz val="9"/>
    </font>
    <font>
      <name val="Noto Sans CJK SC"/>
      <b val="1"/>
      <color rgb="FFFFFFFF"/>
      <sz val="12"/>
    </font>
    <font>
      <name val="Noto Sans CJK SC"/>
      <b val="1"/>
      <color rgb="FFFFFFFF"/>
      <sz val="9"/>
    </font>
    <font>
      <name val="Noto Sans CJK SC"/>
      <b val="1"/>
      <color rgb="FFFFFFFF"/>
      <sz val="9"/>
    </font>
    <font>
      <name val="Arial"/>
      <color rgb="FF1A1A1A"/>
      <sz val="9"/>
    </font>
    <font>
      <name val="Arial"/>
      <b val="1"/>
      <color rgb="FF1F3864"/>
      <sz val="11"/>
    </font>
    <font>
      <name val="Noto Sans CJK SC"/>
      <color rgb="FF1A1A1A"/>
      <sz val="8"/>
    </font>
  </fonts>
  <fills count="10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F2F2F2"/>
      </patternFill>
    </fill>
    <fill>
      <patternFill patternType="solid">
        <fgColor rgb="FFFFF7CC"/>
      </patternFill>
    </fill>
    <fill>
      <patternFill patternType="solid">
        <fgColor rgb="FFEAF1FB"/>
      </patternFill>
    </fill>
    <fill>
      <patternFill patternType="solid">
        <fgColor rgb="FFFFFFFF"/>
      </patternFill>
    </fill>
    <fill>
      <patternFill patternType="solid">
        <fgColor rgb="FFD6E0F0"/>
      </patternFill>
    </fill>
    <fill>
      <patternFill patternType="solid">
        <fgColor rgb="FFFFFFFF"/>
      </patternFill>
    </fill>
  </fills>
  <borders count="1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left/>
      <right style="thin">
        <color rgb="FFBFBFBF"/>
      </right>
      <top/>
      <bottom/>
    </border>
    <border>
      <left style="thin">
        <color rgb="FFBFBFBF"/>
      </left>
      <right style="thin">
        <color rgb="FFBFBFBF"/>
      </right>
      <top/>
      <bottom/>
    </border>
    <border>
      <left style="thin">
        <color rgb="FFBFBFBF"/>
      </left>
      <right/>
      <top/>
      <bottom/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left style="thin">
        <color rgb="FFBFBFBF"/>
      </left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bottom style="thin">
        <color rgb="FF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right" vertical="center" wrapText="1"/>
    </xf>
    <xf numFmtId="0" fontId="15" fillId="4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general" vertical="bottom"/>
    </xf>
    <xf numFmtId="0" fontId="17" fillId="3" borderId="2" applyAlignment="1" pivotButton="0" quotePrefix="0" xfId="0">
      <alignment horizontal="right" vertical="center" wrapText="1"/>
    </xf>
    <xf numFmtId="0" fontId="18" fillId="3" borderId="1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right" vertical="center" wrapText="1"/>
    </xf>
    <xf numFmtId="0" fontId="0" fillId="2" borderId="1" applyAlignment="1" pivotButton="0" quotePrefix="0" xfId="0">
      <alignment horizontal="general" vertical="bottom"/>
    </xf>
    <xf numFmtId="0" fontId="6" fillId="2" borderId="2" applyAlignment="1" pivotButton="0" quotePrefix="0" xfId="0">
      <alignment horizontal="right" vertical="center" wrapText="1"/>
    </xf>
    <xf numFmtId="0" fontId="19" fillId="2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0" fontId="14" fillId="7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left" vertical="center" wrapText="1"/>
    </xf>
    <xf numFmtId="0" fontId="22" fillId="7" borderId="1" applyAlignment="1" pivotButton="0" quotePrefix="0" xfId="0">
      <alignment horizontal="left" vertical="center" wrapText="1"/>
    </xf>
    <xf numFmtId="0" fontId="23" fillId="7" borderId="2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general" vertical="bottom"/>
    </xf>
    <xf numFmtId="0" fontId="22" fillId="7" borderId="0" applyAlignment="1" pivotButton="0" quotePrefix="0" xfId="0">
      <alignment horizontal="left" vertical="center" wrapText="1"/>
    </xf>
    <xf numFmtId="0" fontId="24" fillId="2" borderId="0" applyAlignment="1" pivotButton="0" quotePrefix="0" xfId="0">
      <alignment horizontal="center" vertical="center" wrapText="1"/>
    </xf>
    <xf numFmtId="0" fontId="25" fillId="3" borderId="0" applyAlignment="1" pivotButton="0" quotePrefix="0" xfId="0">
      <alignment horizontal="center" vertical="center" wrapText="1"/>
    </xf>
    <xf numFmtId="0" fontId="19" fillId="3" borderId="0" applyAlignment="1" pivotButton="0" quotePrefix="0" xfId="0">
      <alignment horizontal="left" vertical="center" wrapText="1"/>
    </xf>
    <xf numFmtId="0" fontId="27" fillId="7" borderId="0" applyAlignment="1" pivotButton="0" quotePrefix="0" xfId="0">
      <alignment horizontal="left" vertical="top" wrapText="1"/>
    </xf>
    <xf numFmtId="0" fontId="28" fillId="7" borderId="0" applyAlignment="1" pivotButton="0" quotePrefix="0" xfId="0">
      <alignment horizontal="left" vertical="top" wrapText="1"/>
    </xf>
    <xf numFmtId="0" fontId="30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  <xf numFmtId="0" fontId="30" fillId="7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  <xf numFmtId="0" fontId="31" fillId="8" borderId="1" applyAlignment="1" pivotButton="0" quotePrefix="0" xfId="0">
      <alignment horizontal="center" vertical="center" wrapText="1"/>
    </xf>
    <xf numFmtId="0" fontId="32" fillId="7" borderId="1" applyAlignment="1" pivotButton="0" quotePrefix="0" xfId="0">
      <alignment horizontal="center" vertical="center" wrapText="1"/>
    </xf>
    <xf numFmtId="0" fontId="33" fillId="7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left" vertical="center" wrapText="1"/>
    </xf>
    <xf numFmtId="0" fontId="34" fillId="2" borderId="0" applyAlignment="1" pivotButton="0" quotePrefix="0" xfId="0">
      <alignment horizontal="center" vertical="center" wrapText="1"/>
    </xf>
    <xf numFmtId="0" fontId="36" fillId="3" borderId="1" applyAlignment="1" pivotButton="0" quotePrefix="0" xfId="0">
      <alignment horizontal="center" vertical="center" wrapText="1"/>
    </xf>
    <xf numFmtId="0" fontId="37" fillId="6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left" vertical="center" wrapText="1"/>
    </xf>
    <xf numFmtId="0" fontId="38" fillId="6" borderId="1" applyAlignment="1" pivotButton="0" quotePrefix="0" xfId="0">
      <alignment horizontal="center" vertical="center" wrapText="1"/>
    </xf>
    <xf numFmtId="0" fontId="37" fillId="7" borderId="1" applyAlignment="1" pivotButton="0" quotePrefix="0" xfId="0">
      <alignment horizontal="left" vertical="center" wrapText="1"/>
    </xf>
    <xf numFmtId="0" fontId="38" fillId="7" borderId="1" applyAlignment="1" pivotButton="0" quotePrefix="0" xfId="0">
      <alignment horizontal="center" vertical="center" wrapText="1"/>
    </xf>
    <xf numFmtId="0" fontId="39" fillId="7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left" vertical="center" wrapText="1"/>
    </xf>
    <xf numFmtId="0" fontId="10" fillId="9" borderId="3" applyAlignment="1" pivotButton="0" quotePrefix="0" xfId="0">
      <alignment horizontal="center" vertical="center" wrapText="1"/>
    </xf>
    <xf numFmtId="0" fontId="7" fillId="9" borderId="4" applyAlignment="1" pivotButton="0" quotePrefix="0" xfId="0">
      <alignment horizontal="left" vertical="center" wrapText="1"/>
    </xf>
    <xf numFmtId="0" fontId="11" fillId="9" borderId="4" applyAlignment="1" pivotButton="0" quotePrefix="0" xfId="0">
      <alignment horizontal="left" vertical="center" wrapText="1"/>
    </xf>
    <xf numFmtId="0" fontId="12" fillId="9" borderId="4" applyAlignment="1" pivotButton="0" quotePrefix="0" xfId="0">
      <alignment horizontal="center" vertical="center" wrapText="1"/>
    </xf>
    <xf numFmtId="0" fontId="13" fillId="9" borderId="4" applyAlignment="1" pivotButton="0" quotePrefix="0" xfId="0">
      <alignment horizontal="center" vertical="center" wrapText="1"/>
    </xf>
    <xf numFmtId="0" fontId="14" fillId="9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9" pivotButton="0" quotePrefix="0" xfId="0"/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0" fillId="9" borderId="3" applyAlignment="1" pivotButton="0" quotePrefix="0" xfId="0">
      <alignment horizontal="center" vertical="center" wrapText="1"/>
    </xf>
    <xf numFmtId="0" fontId="7" fillId="9" borderId="4" applyAlignment="1" pivotButton="0" quotePrefix="0" xfId="0">
      <alignment horizontal="left" vertical="center" wrapText="1"/>
    </xf>
    <xf numFmtId="0" fontId="11" fillId="9" borderId="4" applyAlignment="1" pivotButton="0" quotePrefix="0" xfId="0">
      <alignment horizontal="left" vertical="center" wrapText="1"/>
    </xf>
    <xf numFmtId="0" fontId="12" fillId="9" borderId="4" applyAlignment="1" pivotButton="0" quotePrefix="0" xfId="0">
      <alignment horizontal="center" vertical="center" wrapText="1"/>
    </xf>
    <xf numFmtId="0" fontId="13" fillId="9" borderId="4" applyAlignment="1" pivotButton="0" quotePrefix="0" xfId="0">
      <alignment horizontal="center" vertical="center" wrapText="1"/>
    </xf>
    <xf numFmtId="0" fontId="14" fillId="9" borderId="5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right" vertical="center" wrapText="1"/>
    </xf>
    <xf numFmtId="0" fontId="15" fillId="4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general" vertical="bottom"/>
    </xf>
    <xf numFmtId="0" fontId="17" fillId="3" borderId="2" applyAlignment="1" pivotButton="0" quotePrefix="0" xfId="0">
      <alignment horizontal="right" vertical="center" wrapText="1"/>
    </xf>
    <xf numFmtId="0" fontId="18" fillId="3" borderId="1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right" vertical="center" wrapText="1"/>
    </xf>
    <xf numFmtId="0" fontId="0" fillId="2" borderId="1" applyAlignment="1" pivotButton="0" quotePrefix="0" xfId="0">
      <alignment horizontal="general" vertical="bottom"/>
    </xf>
    <xf numFmtId="0" fontId="6" fillId="2" borderId="2" applyAlignment="1" pivotButton="0" quotePrefix="0" xfId="0">
      <alignment horizontal="right" vertical="center" wrapText="1"/>
    </xf>
    <xf numFmtId="0" fontId="19" fillId="2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0" fontId="14" fillId="7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left" vertical="center" wrapText="1"/>
    </xf>
    <xf numFmtId="0" fontId="22" fillId="7" borderId="1" applyAlignment="1" pivotButton="0" quotePrefix="0" xfId="0">
      <alignment horizontal="left" vertical="center" wrapText="1"/>
    </xf>
    <xf numFmtId="0" fontId="23" fillId="7" borderId="2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general" vertical="bottom"/>
    </xf>
    <xf numFmtId="0" fontId="22" fillId="7" borderId="0" applyAlignment="1" pivotButton="0" quotePrefix="0" xfId="0">
      <alignment horizontal="left" vertical="center" wrapText="1"/>
    </xf>
    <xf numFmtId="0" fontId="24" fillId="2" borderId="0" applyAlignment="1" pivotButton="0" quotePrefix="0" xfId="0">
      <alignment horizontal="center" vertical="center" wrapText="1"/>
    </xf>
    <xf numFmtId="0" fontId="25" fillId="3" borderId="0" applyAlignment="1" pivotButton="0" quotePrefix="0" xfId="0">
      <alignment horizontal="center" vertical="center" wrapText="1"/>
    </xf>
    <xf numFmtId="0" fontId="19" fillId="3" borderId="0" applyAlignment="1" pivotButton="0" quotePrefix="0" xfId="0">
      <alignment horizontal="left" vertical="center" wrapText="1"/>
    </xf>
    <xf numFmtId="0" fontId="27" fillId="7" borderId="0" applyAlignment="1" pivotButton="0" quotePrefix="0" xfId="0">
      <alignment horizontal="left" vertical="top" wrapText="1"/>
    </xf>
    <xf numFmtId="0" fontId="28" fillId="7" borderId="0" applyAlignment="1" pivotButton="0" quotePrefix="0" xfId="0">
      <alignment horizontal="left" vertical="top" wrapText="1"/>
    </xf>
    <xf numFmtId="0" fontId="30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  <xf numFmtId="0" fontId="30" fillId="7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  <xf numFmtId="0" fontId="31" fillId="8" borderId="1" applyAlignment="1" pivotButton="0" quotePrefix="0" xfId="0">
      <alignment horizontal="center" vertical="center" wrapText="1"/>
    </xf>
    <xf numFmtId="0" fontId="32" fillId="7" borderId="1" applyAlignment="1" pivotButton="0" quotePrefix="0" xfId="0">
      <alignment horizontal="center" vertical="center" wrapText="1"/>
    </xf>
    <xf numFmtId="0" fontId="33" fillId="7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left" vertical="center" wrapText="1"/>
    </xf>
    <xf numFmtId="0" fontId="34" fillId="2" borderId="0" applyAlignment="1" pivotButton="0" quotePrefix="0" xfId="0">
      <alignment horizontal="center" vertical="center" wrapText="1"/>
    </xf>
    <xf numFmtId="0" fontId="36" fillId="3" borderId="1" applyAlignment="1" pivotButton="0" quotePrefix="0" xfId="0">
      <alignment horizontal="center" vertical="center" wrapText="1"/>
    </xf>
    <xf numFmtId="0" fontId="37" fillId="6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left" vertical="center" wrapText="1"/>
    </xf>
    <xf numFmtId="0" fontId="38" fillId="6" borderId="1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37" fillId="7" borderId="1" applyAlignment="1" pivotButton="0" quotePrefix="0" xfId="0">
      <alignment horizontal="left" vertical="center" wrapText="1"/>
    </xf>
    <xf numFmtId="0" fontId="38" fillId="7" borderId="1" applyAlignment="1" pivotButton="0" quotePrefix="0" xfId="0">
      <alignment horizontal="center" vertical="center" wrapText="1"/>
    </xf>
    <xf numFmtId="0" fontId="39" fillId="7" borderId="1" applyAlignment="1" pivotButton="0" quotePrefix="0" xfId="0">
      <alignment horizontal="left" vertical="center" wrapText="1"/>
    </xf>
  </cellXfs>
  <cellStyles count="6">
    <cellStyle name="Normal" xfId="0"/>
    <cellStyle name="Comma" xfId="1"/>
    <cellStyle name="Comma [0]" xfId="2"/>
    <cellStyle name="Currency" xfId="3"/>
    <cellStyle name="Currency [0]" xfId="4"/>
    <cellStyle name="Percent" xf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7CC"/>
      <rgbColor rgb="FFEAF1FB"/>
      <rgbColor rgb="FF660066"/>
      <rgbColor rgb="FFFF8080"/>
      <rgbColor rgb="FF0066CC"/>
      <rgbColor rgb="FFD6E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1A1A1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selection activeCell="A1" sqref="A1"/>
    </sheetView>
  </sheetViews>
  <sheetFormatPr baseColWidth="8" defaultColWidth="8.6796875" defaultRowHeight="16.5"/>
  <cols>
    <col width="4" customWidth="1" style="71" min="1" max="1"/>
    <col width="26" customWidth="1" style="71" min="2" max="2"/>
    <col width="40" customWidth="1" style="71" min="3" max="3"/>
    <col width="9" customWidth="1" style="71" min="4" max="5"/>
    <col width="10" customWidth="1" style="71" min="6" max="6"/>
    <col width="11" customWidth="1" style="71" min="7" max="7"/>
    <col width="30" customWidth="1" style="71" min="8" max="8"/>
  </cols>
  <sheetData>
    <row r="1" ht="36" customHeight="1" s="72">
      <c r="A1" s="73" t="inlineStr">
        <is>
          <t>属地员工绩效评分表</t>
        </is>
      </c>
    </row>
    <row r="2" ht="25.5" customHeight="1" s="72">
      <c r="A2" s="74" t="inlineStr">
        <is>
          <t>每项 1–100 分，按权重加权为百分制总分，自动换算 1–5 分对应 A–E · 先自评后主管评 · 结果用于发展，非自动解雇</t>
        </is>
      </c>
    </row>
    <row r="3"/>
    <row r="4" ht="19.5" customHeight="1" s="72">
      <c r="A4" s="75" t="inlineStr">
        <is>
          <t>一、被评价人信息</t>
        </is>
      </c>
    </row>
    <row r="5" ht="25.5" customHeight="1" s="72">
      <c r="A5" s="76" t="inlineStr">
        <is>
          <t>姓名</t>
        </is>
      </c>
      <c r="B5" s="77" t="n"/>
      <c r="C5" s="78" t="n"/>
      <c r="D5" s="76" t="inlineStr">
        <is>
          <t>岗位</t>
        </is>
      </c>
      <c r="E5" s="79" t="n"/>
      <c r="F5" s="77" t="n"/>
      <c r="G5" s="78" t="n"/>
      <c r="H5" s="77" t="n"/>
    </row>
    <row r="6" ht="25.5" customHeight="1" s="72">
      <c r="A6" s="76" t="inlineStr">
        <is>
          <t>工号</t>
        </is>
      </c>
      <c r="B6" s="77" t="n"/>
      <c r="C6" s="78" t="n"/>
      <c r="D6" s="76" t="inlineStr">
        <is>
          <t>直属主管</t>
        </is>
      </c>
      <c r="E6" s="79" t="n"/>
      <c r="F6" s="77" t="n"/>
      <c r="G6" s="78" t="n"/>
      <c r="H6" s="77" t="n"/>
    </row>
    <row r="7" ht="25.5" customHeight="1" s="72">
      <c r="A7" s="76" t="inlineStr">
        <is>
          <t>部门</t>
        </is>
      </c>
      <c r="B7" s="77" t="n"/>
      <c r="C7" s="78" t="n"/>
      <c r="D7" s="76" t="inlineStr">
        <is>
          <t>职级</t>
        </is>
      </c>
      <c r="E7" s="79" t="n"/>
      <c r="F7" s="77" t="n"/>
      <c r="G7" s="78" t="n"/>
      <c r="H7" s="77" t="n"/>
    </row>
    <row r="8" ht="25.5" customHeight="1" s="72">
      <c r="A8" s="76" t="inlineStr">
        <is>
          <t>评价周期</t>
        </is>
      </c>
      <c r="B8" s="77" t="n"/>
      <c r="C8" s="78" t="n"/>
      <c r="D8" s="76" t="inlineStr">
        <is>
          <t>评价日期</t>
        </is>
      </c>
      <c r="E8" s="79" t="n"/>
      <c r="F8" s="77" t="n"/>
      <c r="G8" s="78" t="n"/>
      <c r="H8" s="77" t="n"/>
    </row>
    <row r="9" ht="19.5" customHeight="1" s="72">
      <c r="A9" s="75" t="inlineStr">
        <is>
          <t>二、绩效评分（权重合计=100）/  Performance Scoring (weights total = 100)</t>
        </is>
      </c>
    </row>
    <row r="10" ht="30" customHeight="1" s="72">
      <c r="A10" s="80" t="inlineStr">
        <is>
          <t>No.</t>
        </is>
      </c>
      <c r="B10" s="81" t="inlineStr">
        <is>
          <t>评价维度</t>
        </is>
      </c>
      <c r="C10" s="81" t="inlineStr">
        <is>
          <t>客观衡量标准 / 证据要点</t>
        </is>
      </c>
      <c r="D10" s="81" t="inlineStr">
        <is>
          <t>权重%</t>
        </is>
      </c>
      <c r="E10" s="81" t="inlineStr">
        <is>
          <t>自评</t>
        </is>
      </c>
      <c r="F10" s="81" t="inlineStr">
        <is>
          <t>主管</t>
        </is>
      </c>
      <c r="G10" s="81" t="inlineStr">
        <is>
          <t>加权得分</t>
        </is>
      </c>
      <c r="H10" s="81" t="inlineStr">
        <is>
          <t>证据与说明</t>
        </is>
      </c>
    </row>
    <row r="11" ht="40.5" customHeight="1" s="72">
      <c r="A11" s="82" t="n">
        <v>1</v>
      </c>
      <c r="B11" s="83" t="inlineStr">
        <is>
          <t>业绩与目标达成</t>
        </is>
      </c>
      <c r="C11" s="84" t="inlineStr">
        <is>
          <t>关键任务/目标的完成度与结果（可参考部门KPI库）</t>
        </is>
      </c>
      <c r="D11" s="85" t="n">
        <v>30</v>
      </c>
      <c r="E11" s="85" t="n"/>
      <c r="F11" s="85" t="n"/>
      <c r="G11" s="86">
        <f>IF($F11="","",ROUND($D11*$F11/100,1))</f>
        <v/>
      </c>
      <c r="H11" s="87" t="n"/>
    </row>
    <row r="12" ht="40.5" customHeight="1" s="72">
      <c r="A12" s="88" t="n">
        <v>2</v>
      </c>
      <c r="B12" s="89" t="inlineStr">
        <is>
          <t>文化认同与沟通协作</t>
        </is>
      </c>
      <c r="C12" s="90" t="inlineStr">
        <is>
          <t>企业文化认同、沟通协作、知识共享</t>
        </is>
      </c>
      <c r="D12" s="85" t="n">
        <v>30</v>
      </c>
      <c r="E12" s="85" t="n"/>
      <c r="F12" s="85" t="n"/>
      <c r="G12" s="86">
        <f>IF($F12="","",ROUND($D12*$F12/100,1))</f>
        <v/>
      </c>
      <c r="H12" s="87" t="n"/>
    </row>
    <row r="13" ht="40.5" customHeight="1" s="72">
      <c r="A13" s="88" t="n">
        <v>3</v>
      </c>
      <c r="B13" s="89" t="inlineStr">
        <is>
          <t>工作质量与专业能力</t>
        </is>
      </c>
      <c r="C13" s="90" t="inlineStr">
        <is>
          <t>专业深度、方案质量、缺陷/返工率、技术文档</t>
        </is>
      </c>
      <c r="D13" s="85" t="n">
        <v>20</v>
      </c>
      <c r="E13" s="85" t="n"/>
      <c r="F13" s="85" t="n"/>
      <c r="G13" s="86">
        <f>IF($F13="","",ROUND($D13*$F13/100,1))</f>
        <v/>
      </c>
      <c r="H13" s="87" t="n"/>
    </row>
    <row r="14" ht="40.5" customHeight="1" s="72">
      <c r="A14" s="88" t="n">
        <v>4</v>
      </c>
      <c r="B14" s="89" t="inlineStr">
        <is>
          <t>合规·安全·数据保护</t>
        </is>
      </c>
      <c r="C14" s="90" t="inlineStr">
        <is>
          <t>流程/法规遵从、功能与试验安全、GDPR与信息安全</t>
        </is>
      </c>
      <c r="D14" s="85" t="n">
        <v>10</v>
      </c>
      <c r="E14" s="85" t="n"/>
      <c r="F14" s="85" t="n"/>
      <c r="G14" s="86">
        <f>IF($F14="","",ROUND($D14*$F14/100,1))</f>
        <v/>
      </c>
      <c r="H14" s="87" t="n"/>
    </row>
    <row r="15" ht="40.5" customHeight="1" s="72">
      <c r="A15" s="88" t="n">
        <v>5</v>
      </c>
      <c r="B15" s="89" t="inlineStr">
        <is>
          <t>创新与持续改进</t>
        </is>
      </c>
      <c r="C15" s="90" t="inlineStr">
        <is>
          <t>改进提案、复用、效率提升、专利与方法沉淀</t>
        </is>
      </c>
      <c r="D15" s="85" t="n">
        <v>10</v>
      </c>
      <c r="E15" s="85" t="n"/>
      <c r="F15" s="85" t="n"/>
      <c r="G15" s="86">
        <f>IF($F15="","",ROUND($D15*$F15/100,1))</f>
        <v/>
      </c>
      <c r="H15" s="87" t="n"/>
    </row>
    <row r="16" ht="5" customHeight="1" s="72">
      <c r="A16" s="91" t="n"/>
      <c r="B16" s="92" t="n"/>
      <c r="C16" s="93" t="n"/>
      <c r="D16" s="94" t="n"/>
      <c r="E16" s="94" t="n"/>
      <c r="F16" s="94" t="n"/>
      <c r="G16" s="95">
        <f/>
        <v/>
      </c>
      <c r="H16" s="96" t="n"/>
    </row>
    <row r="17" ht="21.75" customHeight="1" s="72">
      <c r="A17" s="97" t="n"/>
      <c r="B17" s="98" t="inlineStr">
        <is>
          <t>权重合计（应为100）/ Total weight (=100)</t>
        </is>
      </c>
      <c r="C17" s="77" t="n"/>
      <c r="D17" s="99">
        <f>SUM(D11:D15)</f>
        <v/>
      </c>
      <c r="E17" s="97" t="n"/>
      <c r="F17" s="97" t="n"/>
      <c r="G17" s="97" t="n"/>
      <c r="H17" s="100" t="inlineStr">
        <is>
          <t>↑ 须等于100</t>
        </is>
      </c>
    </row>
    <row r="18" ht="24" customHeight="1" s="72">
      <c r="A18" s="101" t="n"/>
      <c r="B18" s="102" t="inlineStr">
        <is>
          <t>主管加权总分（满分100）/ Total score (manager, out of 100)</t>
        </is>
      </c>
      <c r="C18" s="79" t="n"/>
      <c r="D18" s="79" t="n"/>
      <c r="E18" s="79" t="n"/>
      <c r="F18" s="79" t="n"/>
      <c r="G18" s="103">
        <f>IF(COUNT(F11:F15)&lt;5,"",ROUND(SUM(G11:G15),1))</f>
        <v/>
      </c>
      <c r="H18" s="101" t="n"/>
    </row>
    <row r="19" ht="19.5" customHeight="1" s="72">
      <c r="A19" s="97" t="n"/>
      <c r="B19" s="104" t="inlineStr">
        <is>
          <t>自评参考总分（满分100）/ Self-assessment total (reference)</t>
        </is>
      </c>
      <c r="C19" s="79" t="n"/>
      <c r="D19" s="79" t="n"/>
      <c r="E19" s="79" t="n"/>
      <c r="F19" s="79" t="n"/>
      <c r="G19" s="86">
        <f>IF(COUNT(E11:E15)&lt;5,"",ROUND(SUMPRODUCT(D11:D15,E11:E15)/100,1))</f>
        <v/>
      </c>
      <c r="H19" s="97" t="n"/>
    </row>
    <row r="20" ht="25.5" customHeight="1" s="72">
      <c r="A20" s="105" t="n"/>
      <c r="B20" s="106" t="inlineStr">
        <is>
          <t>绩效等级</t>
        </is>
      </c>
      <c r="C20" s="79" t="n"/>
      <c r="D20" s="79" t="n"/>
      <c r="E20" s="79" t="n"/>
      <c r="F20" s="79" t="n"/>
      <c r="G20" s="107">
        <f>IF(G18="","",IF(G18&gt;=90,"A 优秀/Excellent",IF(G18&gt;=80,"B 良好/Good",IF(G18&gt;=60,"C 胜任/Competent",IF(G18&gt;=40,"D 待改进/Needs improvement","E 不胜任/Unsatisfactory"))))&amp;" · "&amp;ROUND(G18/20,2)&amp;"/5")</f>
        <v/>
      </c>
      <c r="H20" s="77" t="n"/>
    </row>
    <row r="21"/>
    <row r="22" ht="19.5" customHeight="1" s="72">
      <c r="A22" s="75" t="inlineStr">
        <is>
          <t>三、目标·成果·发展摘要</t>
        </is>
      </c>
    </row>
    <row r="23" ht="45.75" customHeight="1" s="72">
      <c r="A23" s="76" t="inlineStr">
        <is>
          <t>本期主要成果</t>
        </is>
      </c>
      <c r="B23" s="77" t="n"/>
      <c r="C23" s="108" t="inlineStr">
        <is>
          <t>用事实与数据描述关键成果</t>
        </is>
      </c>
      <c r="D23" s="79" t="n"/>
      <c r="E23" s="79" t="n"/>
      <c r="F23" s="79" t="n"/>
      <c r="G23" s="79" t="n"/>
      <c r="H23" s="77" t="n"/>
    </row>
    <row r="24" ht="45.75" customHeight="1" s="72">
      <c r="A24" s="76" t="inlineStr">
        <is>
          <t>改进与发展计划</t>
        </is>
      </c>
      <c r="B24" s="77" t="n"/>
      <c r="C24" s="108" t="inlineStr">
        <is>
          <t>需改进的能力与发展行动、培训需求</t>
        </is>
      </c>
      <c r="D24" s="79" t="n"/>
      <c r="E24" s="79" t="n"/>
      <c r="F24" s="79" t="n"/>
      <c r="G24" s="79" t="n"/>
      <c r="H24" s="77" t="n"/>
    </row>
    <row r="25" ht="45.75" customHeight="1" s="72">
      <c r="A25" s="76" t="inlineStr">
        <is>
          <t>下一周期目标</t>
        </is>
      </c>
      <c r="B25" s="77" t="n"/>
      <c r="C25" s="108" t="inlineStr">
        <is>
          <t>下一周期重点目标与方向</t>
        </is>
      </c>
      <c r="D25" s="79" t="n"/>
      <c r="E25" s="79" t="n"/>
      <c r="F25" s="79" t="n"/>
      <c r="G25" s="79" t="n"/>
      <c r="H25" s="77" t="n"/>
    </row>
    <row r="26"/>
    <row r="27" ht="19.5" customHeight="1" s="72">
      <c r="A27" s="75" t="inlineStr">
        <is>
          <t>四、结果应用</t>
        </is>
      </c>
    </row>
    <row r="28" ht="49.5" customHeight="1" s="72">
      <c r="A28" s="109" t="inlineStr">
        <is>
          <t>C及以上：发展、晋升参考与变动薪酬（按适用集体协议）。  D/E：启动绩效改进计划（PIP，60–90天），提供支持并留痕；结果不自动导致解雇，合同终止须依西班牙法律单独程序。</t>
        </is>
      </c>
      <c r="B28" s="79" t="n"/>
      <c r="C28" s="79" t="n"/>
      <c r="D28" s="79" t="n"/>
      <c r="E28" s="79" t="n"/>
      <c r="F28" s="79" t="n"/>
      <c r="G28" s="79" t="n"/>
      <c r="H28" s="79" t="n"/>
    </row>
    <row r="29" ht="21.75" customHeight="1" s="72">
      <c r="A29" s="110" t="inlineStr">
        <is>
          <t>是否触发PIP</t>
        </is>
      </c>
      <c r="B29" s="79" t="n"/>
      <c r="C29" s="86">
        <f>IF(G18="","",IF(G18&lt;60,"是 Yes — 制定改进计划 / prepare improvement plan","否 No"))</f>
        <v/>
      </c>
      <c r="D29" s="111" t="inlineStr">
        <is>
          <t>（总分&lt;60自动提示</t>
        </is>
      </c>
      <c r="E29" s="79" t="n"/>
      <c r="F29" s="79" t="n"/>
      <c r="G29" s="79" t="n"/>
      <c r="H29" s="77" t="n"/>
    </row>
    <row r="30"/>
    <row r="31" ht="19.5" customHeight="1" s="72">
      <c r="A31" s="75" t="inlineStr">
        <is>
          <t>五、确认与签字</t>
        </is>
      </c>
    </row>
    <row r="32" ht="31.5" customHeight="1" s="72">
      <c r="A32" s="112" t="inlineStr">
        <is>
          <t>员工有权阅读评价、提出书面意见并申诉（见制度文件）。签字表示已知悉，不代表必然同意评价内容。</t>
        </is>
      </c>
      <c r="B32" s="79" t="n"/>
      <c r="C32" s="79" t="n"/>
      <c r="D32" s="79" t="n"/>
      <c r="E32" s="79" t="n"/>
      <c r="F32" s="79" t="n"/>
      <c r="G32" s="79" t="n"/>
      <c r="H32" s="79" t="n"/>
    </row>
    <row r="33" ht="18" customHeight="1" s="72">
      <c r="A33" s="113" t="inlineStr">
        <is>
          <t>员工签字</t>
        </is>
      </c>
      <c r="B33" s="79" t="n"/>
      <c r="C33" s="77" t="n"/>
      <c r="D33" s="113" t="inlineStr">
        <is>
          <t>直属主管</t>
        </is>
      </c>
      <c r="E33" s="79" t="n"/>
      <c r="F33" s="77" t="n"/>
      <c r="G33" s="113" t="inlineStr">
        <is>
          <t>人力资源</t>
        </is>
      </c>
      <c r="H33" s="77" t="n"/>
    </row>
    <row r="34" ht="33.75" customHeight="1" s="72">
      <c r="A34" s="114" t="n"/>
      <c r="B34" s="79" t="n"/>
      <c r="C34" s="77" t="n"/>
      <c r="D34" s="114" t="n"/>
      <c r="E34" s="79" t="n"/>
      <c r="F34" s="77" t="n"/>
      <c r="G34" s="114" t="n"/>
      <c r="H34" s="77" t="n"/>
    </row>
    <row r="35" ht="18" customHeight="1" s="72">
      <c r="A35" s="90" t="inlineStr">
        <is>
          <t>日期 Date:</t>
        </is>
      </c>
      <c r="B35" s="79" t="n"/>
      <c r="C35" s="77" t="n"/>
      <c r="D35" s="90" t="inlineStr">
        <is>
          <t>日期 Date:</t>
        </is>
      </c>
      <c r="E35" s="79" t="n"/>
      <c r="F35" s="77" t="n"/>
      <c r="G35" s="90" t="inlineStr">
        <is>
          <t>日期 Date:</t>
        </is>
      </c>
      <c r="H35" s="77" t="n"/>
    </row>
    <row r="36"/>
    <row r="37" ht="25.5" customHeight="1" s="72">
      <c r="A37" s="115" t="inlineStr">
        <is>
          <t>数据保护 / Data protection: 本表含个人数据，依GDPR / LOPDGDD以评价为目的处理，限期保存，员工享有访问、更正等权利。 This form contains personal data processed for evaluation purposes under the GDPR</t>
        </is>
      </c>
    </row>
  </sheetData>
  <mergeCells count="44">
    <mergeCell ref="A9:H9"/>
    <mergeCell ref="C25:H25"/>
    <mergeCell ref="A24:B24"/>
    <mergeCell ref="A1:H1"/>
    <mergeCell ref="D7:F7"/>
    <mergeCell ref="G8:H8"/>
    <mergeCell ref="A6:B6"/>
    <mergeCell ref="B18:F18"/>
    <mergeCell ref="A33:C33"/>
    <mergeCell ref="A7:B7"/>
    <mergeCell ref="G7:H7"/>
    <mergeCell ref="A25:B25"/>
    <mergeCell ref="C23:H23"/>
    <mergeCell ref="G6:H6"/>
    <mergeCell ref="B17:C17"/>
    <mergeCell ref="A35:C35"/>
    <mergeCell ref="D8:F8"/>
    <mergeCell ref="A27:H27"/>
    <mergeCell ref="A37:H37"/>
    <mergeCell ref="D33:F33"/>
    <mergeCell ref="G34:H34"/>
    <mergeCell ref="D5:F5"/>
    <mergeCell ref="A2:H2"/>
    <mergeCell ref="G33:H33"/>
    <mergeCell ref="A5:B5"/>
    <mergeCell ref="G5:H5"/>
    <mergeCell ref="B19:F19"/>
    <mergeCell ref="D35:F35"/>
    <mergeCell ref="A23:B23"/>
    <mergeCell ref="A34:C34"/>
    <mergeCell ref="A32:H32"/>
    <mergeCell ref="A8:B8"/>
    <mergeCell ref="D34:F34"/>
    <mergeCell ref="A22:H22"/>
    <mergeCell ref="G35:H35"/>
    <mergeCell ref="A4:H4"/>
    <mergeCell ref="G20:H20"/>
    <mergeCell ref="C24:H24"/>
    <mergeCell ref="A29:B29"/>
    <mergeCell ref="B20:F20"/>
    <mergeCell ref="A28:H28"/>
    <mergeCell ref="D29:H29"/>
    <mergeCell ref="D6:F6"/>
    <mergeCell ref="A31:H31"/>
  </mergeCells>
  <dataValidations count="1">
    <dataValidation sqref="E11:F16" showDropDown="0" showInputMessage="1" showErrorMessage="1" allowBlank="1" errorTitle="分数超出范围 / Out of range" error="请输入 1–100 之间的整数 / Enter a whole number between 1 and 100." promptTitle="评分 1–100 / Score 1–100" prompt="A≥90 B≥80 C≥60 D≥40 E&lt;40" type="whole" errorStyle="stop" operator="between">
      <formula1>1</formula1>
      <formula2>100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ColWidth="8.6796875" defaultRowHeight="16.5"/>
  <cols>
    <col width="3" customWidth="1" style="71" min="1" max="1"/>
    <col width="30" customWidth="1" style="71" min="2" max="4"/>
    <col width="18" customWidth="1" style="71" min="5" max="5"/>
  </cols>
  <sheetData>
    <row r="1" ht="45.75" customHeight="1" s="72">
      <c r="A1" s="116" t="inlineStr">
        <is>
          <t>属地员工绩效评价  ·  使用说明与合规要点</t>
        </is>
      </c>
    </row>
    <row r="2" ht="30" customHeight="1" s="72">
      <c r="A2" s="117" t="inlineStr">
        <is>
          <t>适用于西班牙属地研发各部门 · 中英双语 · 符合西班牙劳动法与GDPR</t>
        </is>
      </c>
    </row>
    <row r="3"/>
    <row r="4" ht="21.75" customHeight="1" s="72">
      <c r="A4" s="118" t="inlineStr">
        <is>
          <t>1. 目的</t>
        </is>
      </c>
    </row>
    <row r="5" ht="57" customHeight="1" s="72">
      <c r="A5" s="119" t="inlineStr">
        <is>
          <t>建立公开、客观、可衡量的绩效评价机制，对齐公司目标，支持员工发展与公平激励。本制度服务于发展与改进，不作为自动解雇依据。</t>
        </is>
      </c>
    </row>
    <row r="6"/>
    <row r="7" ht="21.75" customHeight="1" s="72">
      <c r="A7" s="118" t="inlineStr">
        <is>
          <t>2. 法律与合规原则</t>
        </is>
      </c>
    </row>
    <row r="8" ht="237" customHeight="1" s="72">
      <c r="A8" s="119" t="inlineStr">
        <is>
          <t>• 透明、客观、公正、不歧视：评价标准事先告知，基于可衡量的事实与岗位相关行为。
• 数据保护（GDPR/LOPDGDD）：绩效数据属个人数据，按目的使用、限期保存，员工享有访问与更正权（ARSULIPO）。
• 数字断联权：不得以非工作时间的在线/响应作为评分项，不得因行使断联权而扣分或处分。
• 工时登记与工作生活平衡：以产出与结果衡量，不以加班时长或“在场时间”作为绩效。
• 适用集体协议（convenio）：晋升与变动薪酬须符合适用的集体协议（如金属业/工程技术）。
• 员工代表（comité de empresa）：制度的引入与重大变更应依法告知职工代表。
— — —</t>
        </is>
      </c>
    </row>
    <row r="9"/>
    <row r="10" ht="21.75" customHeight="1" s="72">
      <c r="A10" s="118" t="inlineStr">
        <is>
          <t>3. 评分方法</t>
        </is>
      </c>
    </row>
    <row r="11" ht="117" customHeight="1" s="72">
      <c r="A11" s="119" t="inlineStr">
        <is>
          <t>采用统一的五个评价维度，适用于全体员工。每个维度按 1–100 打分；维度权重之和为 100%（默认权重已给出，各部门可按岗位在合计100%的前提下微调并事先告知）。加权总分 = Σ(权重 × 得分) ÷ 100，为百分制（满分100）；换算分 = 总分 ÷ 20（对应 1–5 分），等级 A≥90、B≥80、C≥60、D≥40、E&lt;40。建议先自评、再主管评，并通过校准会保证一致性。
— — —</t>
        </is>
      </c>
    </row>
    <row r="12"/>
    <row r="13" ht="21.75" customHeight="1" s="72">
      <c r="A13" s="118" t="inlineStr">
        <is>
          <t>4. 等级分布（参考·非强制）/ Reference Distribution (non-binding)</t>
        </is>
      </c>
    </row>
    <row r="14" ht="87" customHeight="1" s="72">
      <c r="A14" s="119" t="inlineStr">
        <is>
          <t>为保证校准公平，可参考分布（如 A≈10%、B≈20%、C≈55%、D≈10%、E≈5%）。该分布仅为校准讨论参考，不得作为强制配额，更不得据此“末位淘汰”——在西班牙属违法。</t>
        </is>
      </c>
    </row>
    <row r="15"/>
    <row r="16" ht="21.75" customHeight="1" s="72">
      <c r="A16" s="118" t="inlineStr">
        <is>
          <t>5. 结果应用</t>
        </is>
      </c>
    </row>
    <row r="17" ht="132" customHeight="1" s="72">
      <c r="A17" s="120" t="inlineStr">
        <is>
          <t>• C 及以上：正常激励、发展与晋升参考；变动薪酬按适用协议核算。
• D / E：启动绩效改进计划（PIP / Plan de Mejora），设定 60–90 天目标与支持，过程留痕。结果不自动导致解雇；如涉及合同终止，须依西班牙法律单独程序（第52条客观 / 第54条纪律），并满足其举证与形式要件。
— — —</t>
        </is>
      </c>
    </row>
    <row r="18"/>
    <row r="19" ht="21.75" customHeight="1" s="72">
      <c r="A19" s="118" t="inlineStr">
        <is>
          <t>6. 颜色与填写</t>
        </is>
      </c>
    </row>
    <row r="20" ht="57" customHeight="1" s="72">
      <c r="A20" s="119" t="inlineStr">
        <is>
          <t>黄色单元格为需填写项（权重、自评、主管评、证据与文本）。其余为公式自动计算，请勿手改。</t>
        </is>
      </c>
    </row>
  </sheetData>
  <mergeCells count="14">
    <mergeCell ref="A4:E4"/>
    <mergeCell ref="A20:E20"/>
    <mergeCell ref="A2:E2"/>
    <mergeCell ref="A16:E16"/>
    <mergeCell ref="A7:E7"/>
    <mergeCell ref="A10:E10"/>
    <mergeCell ref="A19:E19"/>
    <mergeCell ref="A11:E11"/>
    <mergeCell ref="A8:E8"/>
    <mergeCell ref="A1:E1"/>
    <mergeCell ref="A5:E5"/>
    <mergeCell ref="A13:E13"/>
    <mergeCell ref="A14:E14"/>
    <mergeCell ref="A17:E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ColWidth="8.6796875" defaultRowHeight="16.5"/>
  <cols>
    <col width="22" customWidth="1" style="71" min="1" max="1"/>
    <col width="16" customWidth="1" style="71" min="2" max="6"/>
  </cols>
  <sheetData>
    <row r="1" ht="31.5" customHeight="1" s="72">
      <c r="A1" s="116" t="inlineStr">
        <is>
          <t>评分标准（1–100分锚点）/  Scoring Criteria (1–100 anchors)</t>
        </is>
      </c>
    </row>
    <row r="2" ht="27.75" customHeight="1" s="72">
      <c r="A2" s="74" t="inlineStr">
        <is>
          <t>请基于事实、数据与岗位相关行为打分，避免凭第一印象或与岗位无关因素（如年龄、出身、语言口音）。</t>
        </is>
      </c>
    </row>
    <row r="3"/>
    <row r="4" ht="24" customHeight="1" s="72">
      <c r="A4" s="81" t="inlineStr">
        <is>
          <t>分数 Score</t>
        </is>
      </c>
      <c r="B4" s="81" t="inlineStr">
        <is>
          <t>等级 Level</t>
        </is>
      </c>
      <c r="C4" s="81" t="inlineStr">
        <is>
          <t>结果达成 Results</t>
        </is>
      </c>
      <c r="D4" s="81" t="inlineStr">
        <is>
          <t>质量 Quality</t>
        </is>
      </c>
      <c r="E4" s="81" t="inlineStr">
        <is>
          <t>自主性 Autonomy</t>
        </is>
      </c>
      <c r="F4" s="81" t="inlineStr">
        <is>
          <t>影响 Impact</t>
        </is>
      </c>
    </row>
    <row r="5" ht="45.75" customHeight="1" s="72">
      <c r="A5" s="121" t="inlineStr">
        <is>
          <t>90–100</t>
        </is>
      </c>
      <c r="B5" s="122" t="inlineStr">
        <is>
          <t>优秀</t>
        </is>
      </c>
      <c r="C5" s="122" t="inlineStr">
        <is>
          <t>持续大幅超目标</t>
        </is>
      </c>
      <c r="D5" s="122" t="inlineStr">
        <is>
          <t>标杆级、近零缺陷</t>
        </is>
      </c>
      <c r="E5" s="122" t="inlineStr">
        <is>
          <t>完全自驱、带动他人</t>
        </is>
      </c>
      <c r="F5" s="122" t="inlineStr">
        <is>
          <t>影响跨部门/公司级</t>
        </is>
      </c>
    </row>
    <row r="6" ht="45.75" customHeight="1" s="72">
      <c r="A6" s="123" t="inlineStr">
        <is>
          <t>80–89</t>
        </is>
      </c>
      <c r="B6" s="90" t="inlineStr">
        <is>
          <t>良好</t>
        </is>
      </c>
      <c r="C6" s="90" t="inlineStr">
        <is>
          <t>达成并部分超出</t>
        </is>
      </c>
      <c r="D6" s="90" t="inlineStr">
        <is>
          <t>高质量、少返工</t>
        </is>
      </c>
      <c r="E6" s="90" t="inlineStr">
        <is>
          <t>独立完成</t>
        </is>
      </c>
      <c r="F6" s="90" t="inlineStr">
        <is>
          <t>影响团队</t>
        </is>
      </c>
    </row>
    <row r="7" ht="45.75" customHeight="1" s="72">
      <c r="A7" s="121" t="inlineStr">
        <is>
          <t>60–79</t>
        </is>
      </c>
      <c r="B7" s="122" t="inlineStr">
        <is>
          <t>胜任</t>
        </is>
      </c>
      <c r="C7" s="122" t="inlineStr">
        <is>
          <t>基本达成目标</t>
        </is>
      </c>
      <c r="D7" s="122" t="inlineStr">
        <is>
          <t>质量达标</t>
        </is>
      </c>
      <c r="E7" s="122" t="inlineStr">
        <is>
          <t>常规需引导</t>
        </is>
      </c>
      <c r="F7" s="122" t="inlineStr">
        <is>
          <t>影响个人职责</t>
        </is>
      </c>
    </row>
    <row r="8" ht="45.75" customHeight="1" s="72">
      <c r="A8" s="123" t="inlineStr">
        <is>
          <t>40–59</t>
        </is>
      </c>
      <c r="B8" s="90" t="inlineStr">
        <is>
          <t>待改进</t>
        </is>
      </c>
      <c r="C8" s="90" t="inlineStr">
        <is>
          <t>部分达成，有缺口</t>
        </is>
      </c>
      <c r="D8" s="90" t="inlineStr">
        <is>
          <t>质量不稳/返工多</t>
        </is>
      </c>
      <c r="E8" s="90" t="inlineStr">
        <is>
          <t>需较多督导</t>
        </is>
      </c>
      <c r="F8" s="90" t="inlineStr">
        <is>
          <t>需他人补位</t>
        </is>
      </c>
    </row>
    <row r="9" ht="45.75" customHeight="1" s="72">
      <c r="A9" s="121" t="inlineStr">
        <is>
          <t>&lt;40</t>
        </is>
      </c>
      <c r="B9" s="122" t="inlineStr">
        <is>
          <t>不胜任</t>
        </is>
      </c>
      <c r="C9" s="122" t="inlineStr">
        <is>
          <t>明显未达成</t>
        </is>
      </c>
      <c r="D9" s="122" t="inlineStr">
        <is>
          <t>缺陷多/不可接受</t>
        </is>
      </c>
      <c r="E9" s="122" t="inlineStr">
        <is>
          <t>无法独立</t>
        </is>
      </c>
      <c r="F9" s="122" t="inlineStr">
        <is>
          <t>造成返工/风险</t>
        </is>
      </c>
    </row>
    <row r="10"/>
    <row r="11" ht="19.5" customHeight="1" s="72">
      <c r="A11" s="75" t="inlineStr">
        <is>
          <t>总分 → 等级映射</t>
        </is>
      </c>
    </row>
    <row r="12" ht="21.75" customHeight="1" s="72">
      <c r="A12" s="124" t="inlineStr">
        <is>
          <t>等级 Rating</t>
        </is>
      </c>
      <c r="B12" s="81" t="inlineStr">
        <is>
          <t>分数区间 Range</t>
        </is>
      </c>
      <c r="C12" s="125" t="inlineStr">
        <is>
          <t>含义 Meaning</t>
        </is>
      </c>
      <c r="D12" s="77" t="n"/>
      <c r="E12" s="125" t="inlineStr">
        <is>
          <t>结果应用 Application</t>
        </is>
      </c>
      <c r="F12" s="77" t="n"/>
    </row>
    <row r="13" ht="27.75" customHeight="1" s="72">
      <c r="A13" s="126" t="inlineStr">
        <is>
          <t>A</t>
        </is>
      </c>
      <c r="B13" s="127" t="inlineStr">
        <is>
          <t>90–100 (4.5–5)</t>
        </is>
      </c>
      <c r="C13" s="128" t="inlineStr">
        <is>
          <t>优秀</t>
        </is>
      </c>
      <c r="D13" s="77" t="n"/>
      <c r="E13" s="90" t="inlineStr">
        <is>
          <t>重点激励、晋升候选</t>
        </is>
      </c>
      <c r="F13" s="77" t="n"/>
    </row>
    <row r="14" ht="27.75" customHeight="1" s="72">
      <c r="A14" s="126" t="inlineStr">
        <is>
          <t>B</t>
        </is>
      </c>
      <c r="B14" s="127" t="inlineStr">
        <is>
          <t>80–89 (4–4.5)</t>
        </is>
      </c>
      <c r="C14" s="128" t="inlineStr">
        <is>
          <t>良好</t>
        </is>
      </c>
      <c r="D14" s="77" t="n"/>
      <c r="E14" s="90" t="inlineStr">
        <is>
          <t>强激励、发展机会</t>
        </is>
      </c>
      <c r="F14" s="77" t="n"/>
    </row>
    <row r="15" ht="27.75" customHeight="1" s="72">
      <c r="A15" s="126" t="inlineStr">
        <is>
          <t>C</t>
        </is>
      </c>
      <c r="B15" s="127" t="inlineStr">
        <is>
          <t>60–79 (3–4)</t>
        </is>
      </c>
      <c r="C15" s="128" t="inlineStr">
        <is>
          <t>胜任</t>
        </is>
      </c>
      <c r="D15" s="77" t="n"/>
      <c r="E15" s="90" t="inlineStr">
        <is>
          <t>正常激励与发展</t>
        </is>
      </c>
      <c r="F15" s="77" t="n"/>
    </row>
    <row r="16" ht="27.75" customHeight="1" s="72">
      <c r="A16" s="126" t="inlineStr">
        <is>
          <t>D</t>
        </is>
      </c>
      <c r="B16" s="127" t="inlineStr">
        <is>
          <t>40–59 (2–3)</t>
        </is>
      </c>
      <c r="C16" s="128" t="inlineStr">
        <is>
          <t>待改进</t>
        </is>
      </c>
      <c r="D16" s="77" t="n"/>
      <c r="E16" s="90" t="inlineStr">
        <is>
          <t>绩效改进计划PIP</t>
        </is>
      </c>
      <c r="F16" s="77" t="n"/>
    </row>
    <row r="17" ht="27.75" customHeight="1" s="72">
      <c r="A17" s="126" t="inlineStr">
        <is>
          <t>E</t>
        </is>
      </c>
      <c r="B17" s="127" t="inlineStr">
        <is>
          <t>&lt;40 (1–2)</t>
        </is>
      </c>
      <c r="C17" s="128" t="inlineStr">
        <is>
          <t>不胜任</t>
        </is>
      </c>
      <c r="D17" s="77" t="n"/>
      <c r="E17" s="129" t="inlineStr">
        <is>
          <t>PIP+密切跟进</t>
        </is>
      </c>
      <c r="F17" s="77" t="n"/>
    </row>
  </sheetData>
  <mergeCells count="15">
    <mergeCell ref="A2:F2"/>
    <mergeCell ref="A11:F11"/>
    <mergeCell ref="C12:D12"/>
    <mergeCell ref="E12:F12"/>
    <mergeCell ref="E16:F16"/>
    <mergeCell ref="C16:D16"/>
    <mergeCell ref="E15:F15"/>
    <mergeCell ref="C15:D15"/>
    <mergeCell ref="A1:F1"/>
    <mergeCell ref="C14:D14"/>
    <mergeCell ref="E13:F13"/>
    <mergeCell ref="C13:D13"/>
    <mergeCell ref="E14:F14"/>
    <mergeCell ref="E17:F17"/>
    <mergeCell ref="C17:D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selection activeCell="A1" sqref="A1"/>
    </sheetView>
  </sheetViews>
  <sheetFormatPr baseColWidth="8" defaultColWidth="8.6796875" defaultRowHeight="16.5"/>
  <cols>
    <col width="22" customWidth="1" style="71" min="1" max="3"/>
    <col width="30" customWidth="1" style="71" min="4" max="5"/>
    <col width="8" customWidth="1" style="71" min="6" max="6"/>
    <col width="18" customWidth="1" style="71" min="7" max="7"/>
  </cols>
  <sheetData>
    <row r="1" ht="31.5" customHeight="1" s="72">
      <c r="A1" s="130" t="inlineStr">
        <is>
          <t>各部门KPI参考库（用于评判“业绩与目标达成”维度）/  Department KPI Library (for the “Performance &amp; goal achievement” dimension)</t>
        </is>
      </c>
    </row>
    <row r="2" ht="27.75" customHeight="1" s="72">
      <c r="A2" s="74" t="inlineStr">
        <is>
          <t>请按岗位参考可量化KPI设定与评判目标；目标应SMART、设定明确达成口径与数据来源。</t>
        </is>
      </c>
    </row>
    <row r="3" ht="30" customHeight="1" s="72">
      <c r="A3" s="81" t="inlineStr">
        <is>
          <t>部门</t>
        </is>
      </c>
      <c r="B3" s="80" t="inlineStr">
        <is>
          <t>KPI（中文）</t>
        </is>
      </c>
      <c r="C3" s="80" t="inlineStr">
        <is>
          <t>KPI (English)</t>
        </is>
      </c>
      <c r="D3" s="81" t="inlineStr">
        <is>
          <t>定义/计算口径（中）</t>
        </is>
      </c>
      <c r="E3" s="80" t="inlineStr">
        <is>
          <t>Definition / formula</t>
        </is>
      </c>
      <c r="F3" s="81" t="inlineStr">
        <is>
          <t>方向</t>
        </is>
      </c>
      <c r="G3" s="81" t="inlineStr">
        <is>
          <t>数据来源</t>
        </is>
      </c>
    </row>
    <row r="4" ht="30" customHeight="1" s="72">
      <c r="A4" s="131" t="inlineStr">
        <is>
          <t>产品共创</t>
        </is>
      </c>
      <c r="B4" s="83" t="inlineStr">
        <is>
          <t>用户需求闭环率</t>
        </is>
      </c>
      <c r="C4" s="132" t="inlineStr">
        <is>
          <t>User requirement closure rate</t>
        </is>
      </c>
      <c r="D4" s="84" t="inlineStr">
        <is>
          <t>已转化为有效规格的需求占比</t>
        </is>
      </c>
      <c r="E4" s="133" t="inlineStr">
        <is>
          <t>% of requirements converted into validated specifications</t>
        </is>
      </c>
      <c r="F4" s="134" t="inlineStr">
        <is>
          <t>↑</t>
        </is>
      </c>
      <c r="G4" s="133" t="inlineStr">
        <is>
          <t>PLM/需求系统</t>
        </is>
      </c>
    </row>
    <row r="5" ht="30" customHeight="1" s="72">
      <c r="A5" s="135" t="n"/>
      <c r="B5" s="83" t="inlineStr">
        <is>
          <t>共创活动交付</t>
        </is>
      </c>
      <c r="C5" s="132" t="inlineStr">
        <is>
          <t>Co-creation activity delivery</t>
        </is>
      </c>
      <c r="D5" s="84" t="inlineStr">
        <is>
          <t>按计划完成的共创工作坊数量与质量</t>
        </is>
      </c>
      <c r="E5" s="133" t="inlineStr">
        <is>
          <t>Number and quality of co-creation workshops vs. plan</t>
        </is>
      </c>
      <c r="F5" s="134" t="inlineStr">
        <is>
          <t>↑</t>
        </is>
      </c>
      <c r="G5" s="84" t="inlineStr">
        <is>
          <t>项目计划</t>
        </is>
      </c>
    </row>
    <row r="6" ht="30" customHeight="1" s="72">
      <c r="A6" s="135" t="n"/>
      <c r="B6" s="83" t="inlineStr">
        <is>
          <t>产品定义里程碑达成率</t>
        </is>
      </c>
      <c r="C6" s="132" t="inlineStr">
        <is>
          <t>Product definition milestone rate</t>
        </is>
      </c>
      <c r="D6" s="84" t="inlineStr">
        <is>
          <t>按时达成的定义里程碑占比</t>
        </is>
      </c>
      <c r="E6" s="133" t="inlineStr">
        <is>
          <t>% of definition milestones on time</t>
        </is>
      </c>
      <c r="F6" s="134" t="inlineStr">
        <is>
          <t>↑</t>
        </is>
      </c>
      <c r="G6" s="84" t="inlineStr">
        <is>
          <t>项目管理</t>
        </is>
      </c>
    </row>
    <row r="7" ht="30" customHeight="1" s="72">
      <c r="A7" s="135" t="n"/>
      <c r="B7" s="83" t="inlineStr">
        <is>
          <t>产品满意度/NPS</t>
        </is>
      </c>
      <c r="C7" s="132" t="inlineStr">
        <is>
          <t>Product satisfaction (NPS)</t>
        </is>
      </c>
      <c r="D7" s="84" t="inlineStr">
        <is>
          <t>目标用户对共创产品的满意度评分</t>
        </is>
      </c>
      <c r="E7" s="133" t="inlineStr">
        <is>
          <t>Target-user satisfaction score (NPS)</t>
        </is>
      </c>
      <c r="F7" s="134" t="inlineStr">
        <is>
          <t>↑</t>
        </is>
      </c>
      <c r="G7" s="84" t="inlineStr">
        <is>
          <t>用户调研</t>
        </is>
      </c>
    </row>
    <row r="8" ht="30" customHeight="1" s="72">
      <c r="A8" s="136" t="n"/>
      <c r="B8" s="83" t="inlineStr">
        <is>
          <t>需求转交时效</t>
        </is>
      </c>
      <c r="C8" s="132" t="inlineStr">
        <is>
          <t>Requirement handover lead time</t>
        </is>
      </c>
      <c r="D8" s="84" t="inlineStr">
        <is>
          <t>需求转交工程的平均周期</t>
        </is>
      </c>
      <c r="E8" s="133" t="inlineStr">
        <is>
          <t>Average handover time to engineering</t>
        </is>
      </c>
      <c r="F8" s="134" t="inlineStr">
        <is>
          <t>↓</t>
        </is>
      </c>
      <c r="G8" s="133" t="inlineStr">
        <is>
          <t>PLM</t>
        </is>
      </c>
    </row>
    <row r="9" ht="30" customHeight="1" s="72">
      <c r="A9" s="131" t="inlineStr">
        <is>
          <t>运营管理</t>
        </is>
      </c>
      <c r="B9" s="89" t="inlineStr">
        <is>
          <t>流程/SLA达成率</t>
        </is>
      </c>
      <c r="C9" s="137" t="inlineStr">
        <is>
          <t>Process / SLA compliance rate</t>
        </is>
      </c>
      <c r="D9" s="90" t="inlineStr">
        <is>
          <t>在SLA内完成的流程占比</t>
        </is>
      </c>
      <c r="E9" s="129" t="inlineStr">
        <is>
          <t>% of processes completed within SLA</t>
        </is>
      </c>
      <c r="F9" s="138" t="inlineStr">
        <is>
          <t>↑</t>
        </is>
      </c>
      <c r="G9" s="90" t="inlineStr">
        <is>
          <t>运营系统</t>
        </is>
      </c>
    </row>
    <row r="10" ht="30" customHeight="1" s="72">
      <c r="A10" s="135" t="n"/>
      <c r="B10" s="89" t="inlineStr">
        <is>
          <t>预算/成本偏差</t>
        </is>
      </c>
      <c r="C10" s="137" t="inlineStr">
        <is>
          <t>Budget / cost variance</t>
        </is>
      </c>
      <c r="D10" s="90" t="inlineStr">
        <is>
          <t>实际对预算的偏差率</t>
        </is>
      </c>
      <c r="E10" s="129" t="inlineStr">
        <is>
          <t>% variance vs. budget</t>
        </is>
      </c>
      <c r="F10" s="138" t="inlineStr">
        <is>
          <t>↓</t>
        </is>
      </c>
      <c r="G10" s="90" t="inlineStr">
        <is>
          <t>财务系统</t>
        </is>
      </c>
    </row>
    <row r="11" ht="30" customHeight="1" s="72">
      <c r="A11" s="135" t="n"/>
      <c r="B11" s="89" t="inlineStr">
        <is>
          <t>运营里程碑达成</t>
        </is>
      </c>
      <c r="C11" s="137" t="inlineStr">
        <is>
          <t>Operational milestone completion</t>
        </is>
      </c>
      <c r="D11" s="90" t="inlineStr">
        <is>
          <t>按时达成的运营节点占比</t>
        </is>
      </c>
      <c r="E11" s="129" t="inlineStr">
        <is>
          <t>% of operational milestones on time</t>
        </is>
      </c>
      <c r="F11" s="138" t="inlineStr">
        <is>
          <t>↑</t>
        </is>
      </c>
      <c r="G11" s="90" t="inlineStr">
        <is>
          <t>项目管理</t>
        </is>
      </c>
    </row>
    <row r="12" ht="30" customHeight="1" s="72">
      <c r="A12" s="135" t="n"/>
      <c r="B12" s="89" t="inlineStr">
        <is>
          <t>审计/合规结果</t>
        </is>
      </c>
      <c r="C12" s="137" t="inlineStr">
        <is>
          <t>Audit &amp; compliance results</t>
        </is>
      </c>
      <c r="D12" s="90" t="inlineStr">
        <is>
          <t>按时关闭的不符合项数量</t>
        </is>
      </c>
      <c r="E12" s="129" t="inlineStr">
        <is>
          <t>No. of non-conformities closed on time</t>
        </is>
      </c>
      <c r="F12" s="138" t="inlineStr">
        <is>
          <t>↑</t>
        </is>
      </c>
      <c r="G12" s="90" t="inlineStr">
        <is>
          <t>审计报告</t>
        </is>
      </c>
    </row>
    <row r="13" ht="30" customHeight="1" s="72">
      <c r="A13" s="136" t="n"/>
      <c r="B13" s="89" t="inlineStr">
        <is>
          <t>跨部门协同满意度</t>
        </is>
      </c>
      <c r="C13" s="137" t="inlineStr">
        <is>
          <t>Cross-team collaboration satisfaction</t>
        </is>
      </c>
      <c r="D13" s="90" t="inlineStr">
        <is>
          <t>内部协同满意度评分</t>
        </is>
      </c>
      <c r="E13" s="129" t="inlineStr">
        <is>
          <t>Internal collaboration satisfaction score</t>
        </is>
      </c>
      <c r="F13" s="138" t="inlineStr">
        <is>
          <t>↑</t>
        </is>
      </c>
      <c r="G13" s="90" t="inlineStr">
        <is>
          <t>内部调研</t>
        </is>
      </c>
    </row>
    <row r="14" ht="30" customHeight="1" s="72">
      <c r="A14" s="131" t="inlineStr">
        <is>
          <t>产品开发与工程</t>
        </is>
      </c>
      <c r="B14" s="83" t="inlineStr">
        <is>
          <t>研发里程碑达成率</t>
        </is>
      </c>
      <c r="C14" s="132" t="inlineStr">
        <is>
          <t>R&amp;D milestone completion rate</t>
        </is>
      </c>
      <c r="D14" s="84" t="inlineStr">
        <is>
          <t>按时通过的开发节点(gate/DV/PV)占比</t>
        </is>
      </c>
      <c r="E14" s="133" t="inlineStr">
        <is>
          <t>% of milestones (gate/DV/PV) passed on time</t>
        </is>
      </c>
      <c r="F14" s="134" t="inlineStr">
        <is>
          <t>↑</t>
        </is>
      </c>
      <c r="G14" s="84" t="inlineStr">
        <is>
          <t>项目管理</t>
        </is>
      </c>
    </row>
    <row r="15" ht="30" customHeight="1" s="72">
      <c r="A15" s="135" t="n"/>
      <c r="B15" s="83" t="inlineStr">
        <is>
          <t>设计变更/质量</t>
        </is>
      </c>
      <c r="C15" s="132" t="inlineStr">
        <is>
          <t>Design change &amp; quality rate</t>
        </is>
      </c>
      <c r="D15" s="133" t="inlineStr">
        <is>
          <t>ECR/ECN数量与设计质量指数</t>
        </is>
      </c>
      <c r="E15" s="133" t="inlineStr">
        <is>
          <t>No. of ECR/ECN and design quality index</t>
        </is>
      </c>
      <c r="F15" s="134" t="inlineStr">
        <is>
          <t>↓</t>
        </is>
      </c>
      <c r="G15" s="133" t="inlineStr">
        <is>
          <t>PLM/质量系统</t>
        </is>
      </c>
    </row>
    <row r="16" ht="30" customHeight="1" s="72">
      <c r="A16" s="135" t="n"/>
      <c r="B16" s="83" t="inlineStr">
        <is>
          <t>成本目标(BOM)达成</t>
        </is>
      </c>
      <c r="C16" s="132" t="inlineStr">
        <is>
          <t>BOM cost target achievement</t>
        </is>
      </c>
      <c r="D16" s="133" t="inlineStr">
        <is>
          <t>BOM成本对目标的达成率</t>
        </is>
      </c>
      <c r="E16" s="133" t="inlineStr">
        <is>
          <t>% achievement of BOM cost target</t>
        </is>
      </c>
      <c r="F16" s="134" t="inlineStr">
        <is>
          <t>↑</t>
        </is>
      </c>
      <c r="G16" s="84" t="inlineStr">
        <is>
          <t>成本系统</t>
        </is>
      </c>
    </row>
    <row r="17" ht="30" customHeight="1" s="72">
      <c r="A17" s="135" t="n"/>
      <c r="B17" s="83" t="inlineStr">
        <is>
          <t>准时交付率</t>
        </is>
      </c>
      <c r="C17" s="132" t="inlineStr">
        <is>
          <t>On-time delivery rate</t>
        </is>
      </c>
      <c r="D17" s="84" t="inlineStr">
        <is>
          <t>工程交付物按时完成占比</t>
        </is>
      </c>
      <c r="E17" s="133" t="inlineStr">
        <is>
          <t>% of engineering deliverables on time</t>
        </is>
      </c>
      <c r="F17" s="134" t="inlineStr">
        <is>
          <t>↑</t>
        </is>
      </c>
      <c r="G17" s="84" t="inlineStr">
        <is>
          <t>项目管理</t>
        </is>
      </c>
    </row>
    <row r="18" ht="30" customHeight="1" s="72">
      <c r="A18" s="136" t="n"/>
      <c r="B18" s="83" t="inlineStr">
        <is>
          <t>技术文档/专利</t>
        </is>
      </c>
      <c r="C18" s="132" t="inlineStr">
        <is>
          <t>Technical documentation &amp; patents</t>
        </is>
      </c>
      <c r="D18" s="84" t="inlineStr">
        <is>
          <t>技术文档完备度与专利产出</t>
        </is>
      </c>
      <c r="E18" s="133" t="inlineStr">
        <is>
          <t>Documentation completeness and patent output</t>
        </is>
      </c>
      <c r="F18" s="134" t="inlineStr">
        <is>
          <t>↑</t>
        </is>
      </c>
      <c r="G18" s="84" t="inlineStr">
        <is>
          <t>知识库/IP</t>
        </is>
      </c>
    </row>
    <row r="19" ht="30" customHeight="1" s="72">
      <c r="A19" s="131" t="inlineStr">
        <is>
          <t>整车验证与工程</t>
        </is>
      </c>
      <c r="B19" s="89" t="inlineStr">
        <is>
          <t>测试计划完成率</t>
        </is>
      </c>
      <c r="C19" s="137" t="inlineStr">
        <is>
          <t>Test plan completion rate</t>
        </is>
      </c>
      <c r="D19" s="90" t="inlineStr">
        <is>
          <t>按计划完成的测试用例占比</t>
        </is>
      </c>
      <c r="E19" s="129" t="inlineStr">
        <is>
          <t>% of planned test cases completed</t>
        </is>
      </c>
      <c r="F19" s="138" t="inlineStr">
        <is>
          <t>↑</t>
        </is>
      </c>
      <c r="G19" s="90" t="inlineStr">
        <is>
          <t>测试管理</t>
        </is>
      </c>
    </row>
    <row r="20" ht="30" customHeight="1" s="72">
      <c r="A20" s="135" t="n"/>
      <c r="B20" s="89" t="inlineStr">
        <is>
          <t>缺陷检出与闭环率</t>
        </is>
      </c>
      <c r="C20" s="137" t="inlineStr">
        <is>
          <t>Defect detection &amp; closure rate</t>
        </is>
      </c>
      <c r="D20" s="90" t="inlineStr">
        <is>
          <t>缺陷检出及按时闭环比例</t>
        </is>
      </c>
      <c r="E20" s="129" t="inlineStr">
        <is>
          <t>% of defects detected and closed on time</t>
        </is>
      </c>
      <c r="F20" s="138" t="inlineStr">
        <is>
          <t>↑</t>
        </is>
      </c>
      <c r="G20" s="90" t="inlineStr">
        <is>
          <t>缺陷系统</t>
        </is>
      </c>
    </row>
    <row r="21" ht="30" customHeight="1" s="72">
      <c r="A21" s="135" t="n"/>
      <c r="B21" s="89" t="inlineStr">
        <is>
          <t>验证报告及时与质量</t>
        </is>
      </c>
      <c r="C21" s="137" t="inlineStr">
        <is>
          <t>Report timeliness &amp; quality</t>
        </is>
      </c>
      <c r="D21" s="90" t="inlineStr">
        <is>
          <t>验证报告按时率与质量评分</t>
        </is>
      </c>
      <c r="E21" s="129" t="inlineStr">
        <is>
          <t>On-time rate and quality score of reports</t>
        </is>
      </c>
      <c r="F21" s="138" t="inlineStr">
        <is>
          <t>↑</t>
        </is>
      </c>
      <c r="G21" s="90" t="inlineStr">
        <is>
          <t>文档系统</t>
        </is>
      </c>
    </row>
    <row r="22" ht="30" customHeight="1" s="72">
      <c r="A22" s="135" t="n"/>
      <c r="B22" s="89" t="inlineStr">
        <is>
          <t>认证/法规达成</t>
        </is>
      </c>
      <c r="C22" s="137" t="inlineStr">
        <is>
          <t>Homologation / regulatory compliance</t>
        </is>
      </c>
      <c r="D22" s="139" t="inlineStr">
        <is>
          <t>型式认证(homologation)与法规认证达成</t>
        </is>
      </c>
      <c r="E22" s="129" t="inlineStr">
        <is>
          <t>Homologations and certifications achieved</t>
        </is>
      </c>
      <c r="F22" s="138" t="inlineStr">
        <is>
          <t>↑</t>
        </is>
      </c>
      <c r="G22" s="90" t="inlineStr">
        <is>
          <t>认证记录</t>
        </is>
      </c>
    </row>
    <row r="23" ht="30" customHeight="1" s="72">
      <c r="A23" s="136" t="n"/>
      <c r="B23" s="89" t="inlineStr">
        <is>
          <t>试验安全合规</t>
        </is>
      </c>
      <c r="C23" s="137" t="inlineStr">
        <is>
          <t>Test safety compliance</t>
        </is>
      </c>
      <c r="D23" s="90" t="inlineStr">
        <is>
          <t>试验安全事件数(目标为零)</t>
        </is>
      </c>
      <c r="E23" s="129" t="inlineStr">
        <is>
          <t>No. of test safety incidents (target: zero)</t>
        </is>
      </c>
      <c r="F23" s="138" t="inlineStr">
        <is>
          <t>↓</t>
        </is>
      </c>
      <c r="G23" s="129" t="inlineStr">
        <is>
          <t>EHS记录</t>
        </is>
      </c>
    </row>
    <row r="24" ht="30" customHeight="1" s="72">
      <c r="A24" s="131" t="inlineStr">
        <is>
          <t>智慧能源技术</t>
        </is>
      </c>
      <c r="B24" s="83" t="inlineStr">
        <is>
          <t>能效/性能达成</t>
        </is>
      </c>
      <c r="C24" s="132" t="inlineStr">
        <is>
          <t>Efficiency / performance achievement</t>
        </is>
      </c>
      <c r="D24" s="84" t="inlineStr">
        <is>
          <t>能效或性能指标达成率</t>
        </is>
      </c>
      <c r="E24" s="133" t="inlineStr">
        <is>
          <t>% achievement of efficiency/performance targets</t>
        </is>
      </c>
      <c r="F24" s="134" t="inlineStr">
        <is>
          <t>↑</t>
        </is>
      </c>
      <c r="G24" s="84" t="inlineStr">
        <is>
          <t>试验数据</t>
        </is>
      </c>
    </row>
    <row r="25" ht="30" customHeight="1" s="72">
      <c r="A25" s="135" t="n"/>
      <c r="B25" s="83" t="inlineStr">
        <is>
          <t>能源系统验证完成率</t>
        </is>
      </c>
      <c r="C25" s="132" t="inlineStr">
        <is>
          <t>Energy system validation rate</t>
        </is>
      </c>
      <c r="D25" s="84" t="inlineStr">
        <is>
          <t>电池/能源系统验证完成比例</t>
        </is>
      </c>
      <c r="E25" s="133" t="inlineStr">
        <is>
          <t>% of battery/energy system validation completed</t>
        </is>
      </c>
      <c r="F25" s="134" t="inlineStr">
        <is>
          <t>↑</t>
        </is>
      </c>
      <c r="G25" s="84" t="inlineStr">
        <is>
          <t>测试管理</t>
        </is>
      </c>
    </row>
    <row r="26" ht="30" customHeight="1" s="72">
      <c r="A26" s="135" t="n"/>
      <c r="B26" s="83" t="inlineStr">
        <is>
          <t>技术里程碑达成</t>
        </is>
      </c>
      <c r="C26" s="132" t="inlineStr">
        <is>
          <t>Technical milestone completion</t>
        </is>
      </c>
      <c r="D26" s="84" t="inlineStr">
        <is>
          <t>按时达成的技术节点占比</t>
        </is>
      </c>
      <c r="E26" s="133" t="inlineStr">
        <is>
          <t>% of technical milestones on time</t>
        </is>
      </c>
      <c r="F26" s="134" t="inlineStr">
        <is>
          <t>↑</t>
        </is>
      </c>
      <c r="G26" s="84" t="inlineStr">
        <is>
          <t>项目管理</t>
        </is>
      </c>
    </row>
    <row r="27" ht="30" customHeight="1" s="72">
      <c r="A27" s="135" t="n"/>
      <c r="B27" s="83" t="inlineStr">
        <is>
          <t>电安全与合规</t>
        </is>
      </c>
      <c r="C27" s="132" t="inlineStr">
        <is>
          <t>Electrical safety &amp; compliance</t>
        </is>
      </c>
      <c r="D27" s="84" t="inlineStr">
        <is>
          <t>电安全事件与合规达成</t>
        </is>
      </c>
      <c r="E27" s="133" t="inlineStr">
        <is>
          <t>Electrical safety incidents and regulatory compliance</t>
        </is>
      </c>
      <c r="F27" s="134" t="inlineStr">
        <is>
          <t>↓</t>
        </is>
      </c>
      <c r="G27" s="133" t="inlineStr">
        <is>
          <t>EHS/合规</t>
        </is>
      </c>
    </row>
    <row r="28" ht="30" customHeight="1" s="72">
      <c r="A28" s="136" t="n"/>
      <c r="B28" s="83" t="inlineStr">
        <is>
          <t>创新/专利</t>
        </is>
      </c>
      <c r="C28" s="132" t="inlineStr">
        <is>
          <t>Innovation &amp; patents</t>
        </is>
      </c>
      <c r="D28" s="84" t="inlineStr">
        <is>
          <t>创新提案与专利产出</t>
        </is>
      </c>
      <c r="E28" s="133" t="inlineStr">
        <is>
          <t>Innovation proposals and patent output</t>
        </is>
      </c>
      <c r="F28" s="134" t="inlineStr">
        <is>
          <t>↑</t>
        </is>
      </c>
      <c r="G28" s="133" t="inlineStr">
        <is>
          <t>IP/知识库</t>
        </is>
      </c>
    </row>
    <row r="29" ht="30" customHeight="1" s="72">
      <c r="A29" s="131" t="inlineStr">
        <is>
          <t>产品数字化</t>
        </is>
      </c>
      <c r="B29" s="89" t="inlineStr">
        <is>
          <t>软件交付达成率</t>
        </is>
      </c>
      <c r="C29" s="137" t="inlineStr">
        <is>
          <t>Software delivery rate</t>
        </is>
      </c>
      <c r="D29" s="129" t="inlineStr">
        <is>
          <t>Sprint/发布按计划交付比例</t>
        </is>
      </c>
      <c r="E29" s="129" t="inlineStr">
        <is>
          <t>% of sprint/release deliveries on plan</t>
        </is>
      </c>
      <c r="F29" s="138" t="inlineStr">
        <is>
          <t>↑</t>
        </is>
      </c>
      <c r="G29" s="129" t="inlineStr">
        <is>
          <t>Jira/CI</t>
        </is>
      </c>
    </row>
    <row r="30" ht="30" customHeight="1" s="72">
      <c r="A30" s="135" t="n"/>
      <c r="B30" s="89" t="inlineStr">
        <is>
          <t>缺陷密度/质量</t>
        </is>
      </c>
      <c r="C30" s="137" t="inlineStr">
        <is>
          <t>Defect density &amp; quality</t>
        </is>
      </c>
      <c r="D30" s="90" t="inlineStr">
        <is>
          <t>每千行/每功能缺陷密度</t>
        </is>
      </c>
      <c r="E30" s="129" t="inlineStr">
        <is>
          <t>Defect density per KLOC/function</t>
        </is>
      </c>
      <c r="F30" s="138" t="inlineStr">
        <is>
          <t>↓</t>
        </is>
      </c>
      <c r="G30" s="90" t="inlineStr">
        <is>
          <t>质量系统</t>
        </is>
      </c>
    </row>
    <row r="31" ht="30" customHeight="1" s="72">
      <c r="A31" s="135" t="n"/>
      <c r="B31" s="89" t="inlineStr">
        <is>
          <t>系统可用性</t>
        </is>
      </c>
      <c r="C31" s="137" t="inlineStr">
        <is>
          <t>System availability</t>
        </is>
      </c>
      <c r="D31" s="90" t="inlineStr">
        <is>
          <t>系统在线率(uptime)</t>
        </is>
      </c>
      <c r="E31" s="129" t="inlineStr">
        <is>
          <t>System uptime / availability</t>
        </is>
      </c>
      <c r="F31" s="138" t="inlineStr">
        <is>
          <t>↑</t>
        </is>
      </c>
      <c r="G31" s="90" t="inlineStr">
        <is>
          <t>监控系统</t>
        </is>
      </c>
    </row>
    <row r="32" ht="30" customHeight="1" s="72">
      <c r="A32" s="135" t="n"/>
      <c r="B32" s="89" t="inlineStr">
        <is>
          <t>数字功能/OTA上线</t>
        </is>
      </c>
      <c r="C32" s="137" t="inlineStr">
        <is>
          <t>Digital feature / OTA deployment</t>
        </is>
      </c>
      <c r="D32" s="90" t="inlineStr">
        <is>
          <t>数字功能或OTA按时上线占比</t>
        </is>
      </c>
      <c r="E32" s="129" t="inlineStr">
        <is>
          <t>% of digital features/OTA released on time</t>
        </is>
      </c>
      <c r="F32" s="138" t="inlineStr">
        <is>
          <t>↑</t>
        </is>
      </c>
      <c r="G32" s="90" t="inlineStr">
        <is>
          <t>发布记录</t>
        </is>
      </c>
    </row>
    <row r="33" ht="30" customHeight="1" s="72">
      <c r="A33" s="136" t="n"/>
      <c r="B33" s="89" t="inlineStr">
        <is>
          <t>网络安全合规</t>
        </is>
      </c>
      <c r="C33" s="137" t="inlineStr">
        <is>
          <t>Cybersecurity compliance</t>
        </is>
      </c>
      <c r="D33" s="90" t="inlineStr">
        <is>
          <t>安全漏洞闭环与合规达成</t>
        </is>
      </c>
      <c r="E33" s="129" t="inlineStr">
        <is>
          <t>Vulnerabilities closed and compliance achieved</t>
        </is>
      </c>
      <c r="F33" s="138" t="inlineStr">
        <is>
          <t>↑</t>
        </is>
      </c>
      <c r="G33" s="90" t="inlineStr">
        <is>
          <t>安全系统</t>
        </is>
      </c>
    </row>
    <row r="34" ht="30" customHeight="1" s="72">
      <c r="A34" s="131" t="inlineStr">
        <is>
          <t>自动驾驶</t>
        </is>
      </c>
      <c r="B34" s="83" t="inlineStr">
        <is>
          <t>功能/算法里程碑</t>
        </is>
      </c>
      <c r="C34" s="132" t="inlineStr">
        <is>
          <t>Feature / algorithm milestones</t>
        </is>
      </c>
      <c r="D34" s="84" t="inlineStr">
        <is>
          <t>按时达成的功能/算法节点占比</t>
        </is>
      </c>
      <c r="E34" s="133" t="inlineStr">
        <is>
          <t>% of feature/algorithm milestones on time</t>
        </is>
      </c>
      <c r="F34" s="134" t="inlineStr">
        <is>
          <t>↑</t>
        </is>
      </c>
      <c r="G34" s="84" t="inlineStr">
        <is>
          <t>项目管理</t>
        </is>
      </c>
    </row>
    <row r="35" ht="30" customHeight="1" s="72">
      <c r="A35" s="135" t="n"/>
      <c r="B35" s="83" t="inlineStr">
        <is>
          <t>数据闭环</t>
        </is>
      </c>
      <c r="C35" s="132" t="inlineStr">
        <is>
          <t>Data loop closure</t>
        </is>
      </c>
      <c r="D35" s="84" t="inlineStr">
        <is>
          <t>采集里程/场景覆盖达成</t>
        </is>
      </c>
      <c r="E35" s="133" t="inlineStr">
        <is>
          <t>Km collected / scenario coverage achieved</t>
        </is>
      </c>
      <c r="F35" s="134" t="inlineStr">
        <is>
          <t>↑</t>
        </is>
      </c>
      <c r="G35" s="84" t="inlineStr">
        <is>
          <t>数据平台</t>
        </is>
      </c>
    </row>
    <row r="36" ht="30" customHeight="1" s="72">
      <c r="A36" s="135" t="n"/>
      <c r="B36" s="83" t="inlineStr">
        <is>
          <t>安全验证指标</t>
        </is>
      </c>
      <c r="C36" s="132" t="inlineStr">
        <is>
          <t>Safety validation metrics</t>
        </is>
      </c>
      <c r="D36" s="84" t="inlineStr">
        <is>
          <t>脱离率/MPI等安全指标</t>
        </is>
      </c>
      <c r="E36" s="133" t="inlineStr">
        <is>
          <t>Disengagement rate / MPI and safety metrics</t>
        </is>
      </c>
      <c r="F36" s="134" t="inlineStr">
        <is>
          <t>↑</t>
        </is>
      </c>
      <c r="G36" s="84" t="inlineStr">
        <is>
          <t>验证平台</t>
        </is>
      </c>
    </row>
    <row r="37" ht="30" customHeight="1" s="72">
      <c r="A37" s="135" t="n"/>
      <c r="B37" s="83" t="inlineStr">
        <is>
          <t>模型性能达成</t>
        </is>
      </c>
      <c r="C37" s="132" t="inlineStr">
        <is>
          <t>Model performance achievement</t>
        </is>
      </c>
      <c r="D37" s="84" t="inlineStr">
        <is>
          <t>模型性能指标(精度/召回等)达成</t>
        </is>
      </c>
      <c r="E37" s="133" t="inlineStr">
        <is>
          <t>Achievement of model performance metrics</t>
        </is>
      </c>
      <c r="F37" s="134" t="inlineStr">
        <is>
          <t>↑</t>
        </is>
      </c>
      <c r="G37" s="84" t="inlineStr">
        <is>
          <t>评测系统</t>
        </is>
      </c>
    </row>
    <row r="38" ht="30" customHeight="1" s="72">
      <c r="A38" s="136" t="n"/>
      <c r="B38" s="83" t="inlineStr">
        <is>
          <t>功能安全/法规合规</t>
        </is>
      </c>
      <c r="C38" s="132" t="inlineStr">
        <is>
          <t>Functional safety &amp; regulatory compliance</t>
        </is>
      </c>
      <c r="D38" s="133" t="inlineStr">
        <is>
          <t>ISO 26262/SOTIF等合规达成</t>
        </is>
      </c>
      <c r="E38" s="133" t="inlineStr">
        <is>
          <t>ISO 26262 / SOTIF compliance</t>
        </is>
      </c>
      <c r="F38" s="134" t="inlineStr">
        <is>
          <t>↑</t>
        </is>
      </c>
      <c r="G38" s="84" t="inlineStr">
        <is>
          <t>合规记录</t>
        </is>
      </c>
    </row>
  </sheetData>
  <mergeCells count="9">
    <mergeCell ref="A34:A38"/>
    <mergeCell ref="A1:G1"/>
    <mergeCell ref="A29:A33"/>
    <mergeCell ref="A9:A13"/>
    <mergeCell ref="A24:A28"/>
    <mergeCell ref="A4:A8"/>
    <mergeCell ref="A2:G2"/>
    <mergeCell ref="A19:A23"/>
    <mergeCell ref="A14:A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2026-07-16T07:46:55Z</dcterms:created>
  <dcterms:modified xmlns:dcterms="http://purl.org/dc/terms/" xmlns:xsi="http://www.w3.org/2001/XMLSchema-instance" xsi:type="dcterms:W3CDTF">2026-07-16T07:46:56Z</dcterms:modified>
</cp:coreProperties>
</file>