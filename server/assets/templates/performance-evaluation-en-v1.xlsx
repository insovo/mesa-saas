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luation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KPI Library" sheetId="4" state="visible" r:id="rId4"/>
  </sheets>
  <definedNames/>
</workbook>
</file>

<file path=xl/styles.xml><?xml version="1.0" encoding="utf-8"?>
<styleSheet xmlns="http://schemas.openxmlformats.org/spreadsheetml/2006/main">
  <numFmts count="0"/>
  <fonts count="35">
    <font>
      <name val="Calibri"/>
      <color theme="1"/>
      <sz val="11"/>
    </font>
    <font>
      <name val="Arial"/>
      <sz val="10"/>
    </font>
    <font>
      <name val="Arial"/>
      <sz val="10"/>
    </font>
    <font>
      <name val="Arial"/>
      <sz val="10"/>
    </font>
    <font>
      <name val="Noto Sans CJK SC"/>
      <b val="1"/>
      <color rgb="FFFFFFFF"/>
      <sz val="14"/>
    </font>
    <font>
      <name val="Noto Sans CJK SC"/>
      <i val="1"/>
      <color rgb="FFFFFFFF"/>
      <sz val="8"/>
    </font>
    <font>
      <name val="Noto Sans CJK SC"/>
      <b val="1"/>
      <color rgb="FFFFFFFF"/>
      <sz val="11"/>
    </font>
    <font>
      <name val="Noto Sans CJK SC"/>
      <b val="1"/>
      <color rgb="FF1A1A1A"/>
      <sz val="9"/>
    </font>
    <font>
      <name val="Arial"/>
      <b val="1"/>
      <color rgb="FFFFFFFF"/>
      <sz val="9"/>
    </font>
    <font>
      <name val="Noto Sans CJK SC"/>
      <b val="1"/>
      <color rgb="FFFFFFFF"/>
      <sz val="9"/>
    </font>
    <font>
      <name val="Arial"/>
      <b val="1"/>
      <color rgb="FF1A1A1A"/>
      <sz val="9"/>
    </font>
    <font>
      <name val="Noto Sans CJK SC"/>
      <color rgb="FF1A1A1A"/>
      <sz val="8"/>
    </font>
    <font>
      <name val="Arial"/>
      <color rgb="FF0000FF"/>
      <sz val="10"/>
    </font>
    <font>
      <name val="Arial"/>
      <b val="1"/>
      <color rgb="FF1A1A1A"/>
      <sz val="10"/>
    </font>
    <font>
      <name val="Arial"/>
      <color rgb="FF1A1A1A"/>
      <sz val="8"/>
    </font>
    <font>
      <name val="Arial"/>
      <b val="1"/>
      <color rgb="FFC00000"/>
      <sz val="10"/>
    </font>
    <font>
      <name val="Noto Sans CJK SC"/>
      <i val="1"/>
      <color rgb="FFC00000"/>
      <sz val="8"/>
    </font>
    <font>
      <name val="Noto Sans CJK SC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FFFFFF"/>
      <sz val="11"/>
    </font>
    <font>
      <name val="Noto Sans CJK SC"/>
      <i val="1"/>
      <color rgb="FF808080"/>
      <sz val="8"/>
    </font>
    <font>
      <name val="Noto Sans CJK SC"/>
      <i val="1"/>
      <color rgb="FF808080"/>
      <sz val="8"/>
    </font>
    <font>
      <name val="Noto Sans CJK SC"/>
      <i val="1"/>
      <color rgb="FF1A1A1A"/>
      <sz val="8"/>
    </font>
    <font>
      <name val="Noto Sans CJK SC"/>
      <b val="1"/>
      <color rgb="FFFFFFFF"/>
      <sz val="13"/>
    </font>
    <font>
      <name val="Noto Sans CJK SC"/>
      <i val="1"/>
      <color rgb="FFFFFFFF"/>
      <sz val="9"/>
    </font>
    <font>
      <name val="Noto Sans CJK SC"/>
      <color rgb="FF1A1A1A"/>
      <sz val="9"/>
    </font>
    <font>
      <name val="Arial"/>
      <color rgb="FF1A1A1A"/>
      <sz val="9"/>
    </font>
    <font>
      <name val="Arial"/>
      <b val="1"/>
      <color rgb="FF1A1A1A"/>
      <sz val="8"/>
    </font>
    <font>
      <name val="Arial"/>
      <b val="1"/>
      <color rgb="FF1A1A1A"/>
      <sz val="11"/>
    </font>
    <font>
      <name val="Arial"/>
      <color rgb="FF1A1A1A"/>
      <sz val="10"/>
    </font>
    <font>
      <name val="Noto Sans CJK SC"/>
      <color rgb="FF1A1A1A"/>
      <sz val="9"/>
    </font>
    <font>
      <name val="Noto Sans CJK SC"/>
      <b val="1"/>
      <color rgb="FFFFFFFF"/>
      <sz val="12"/>
    </font>
    <font>
      <name val="Noto Sans CJK SC"/>
      <b val="1"/>
      <color rgb="FFFFFFFF"/>
      <sz val="9"/>
    </font>
    <font>
      <name val="Arial"/>
      <color rgb="FF1A1A1A"/>
      <sz val="9"/>
    </font>
    <font>
      <name val="Arial"/>
      <b val="1"/>
      <color rgb="FF1F3864"/>
      <sz val="11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FF7CC"/>
      </patternFill>
    </fill>
    <fill>
      <patternFill patternType="solid">
        <fgColor rgb="FFEAF1FB"/>
      </patternFill>
    </fill>
    <fill>
      <patternFill patternType="solid">
        <fgColor rgb="FFFFFFFF"/>
      </patternFill>
    </fill>
    <fill>
      <patternFill patternType="solid">
        <fgColor rgb="FFD6E0F0"/>
      </patternFill>
    </fill>
    <fill>
      <patternFill patternType="solid">
        <fgColor rgb="FFFFFFFF"/>
      </patternFill>
    </fill>
  </fills>
  <borders count="1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/>
      <bottom/>
    </border>
    <border>
      <left style="thin">
        <color rgb="FFBFBFBF"/>
      </left>
      <right/>
      <top/>
      <bottom/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righ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17" fillId="3" borderId="2" applyAlignment="1" pivotButton="0" quotePrefix="0" xfId="0">
      <alignment horizontal="right" vertical="center" wrapText="1"/>
    </xf>
    <xf numFmtId="0" fontId="18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right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7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general" vertical="bottom"/>
    </xf>
    <xf numFmtId="0" fontId="21" fillId="7" borderId="0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 wrapText="1"/>
    </xf>
    <xf numFmtId="0" fontId="25" fillId="7" borderId="0" applyAlignment="1" pivotButton="0" quotePrefix="0" xfId="0">
      <alignment horizontal="left" vertical="top" wrapText="1"/>
    </xf>
    <xf numFmtId="0" fontId="26" fillId="7" borderId="0" applyAlignment="1" pivotButton="0" quotePrefix="0" xfId="0">
      <alignment horizontal="left" vertical="top" wrapText="1"/>
    </xf>
    <xf numFmtId="0" fontId="27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31" fillId="2" borderId="0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0" fontId="3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34" fillId="6" borderId="1" applyAlignment="1" pivotButton="0" quotePrefix="0" xfId="0">
      <alignment horizontal="center" vertical="center" wrapText="1"/>
    </xf>
    <xf numFmtId="0" fontId="33" fillId="7" borderId="1" applyAlignment="1" pivotButton="0" quotePrefix="0" xfId="0">
      <alignment horizontal="left" vertical="center" wrapText="1"/>
    </xf>
    <xf numFmtId="0" fontId="34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0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left" vertical="center" wrapText="1"/>
    </xf>
    <xf numFmtId="0" fontId="11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4" fillId="9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0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left" vertical="center" wrapText="1"/>
    </xf>
    <xf numFmtId="0" fontId="11" fillId="9" borderId="4" applyAlignment="1" pivotButton="0" quotePrefix="0" xfId="0">
      <alignment horizontal="left" vertical="center" wrapText="1"/>
    </xf>
    <xf numFmtId="0" fontId="12" fillId="9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4" fillId="9" borderId="5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righ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17" fillId="3" borderId="2" applyAlignment="1" pivotButton="0" quotePrefix="0" xfId="0">
      <alignment horizontal="right" vertical="center" wrapText="1"/>
    </xf>
    <xf numFmtId="0" fontId="18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right" vertical="center" wrapText="1"/>
    </xf>
    <xf numFmtId="0" fontId="0" fillId="2" borderId="1" applyAlignment="1" pivotButton="0" quotePrefix="0" xfId="0">
      <alignment horizontal="general" vertical="bottom"/>
    </xf>
    <xf numFmtId="0" fontId="6" fillId="2" borderId="2" applyAlignment="1" pivotButton="0" quotePrefix="0" xfId="0">
      <alignment horizontal="right" vertical="center" wrapText="1"/>
    </xf>
    <xf numFmtId="0" fontId="19" fillId="2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22" fillId="7" borderId="2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general" vertical="bottom"/>
    </xf>
    <xf numFmtId="0" fontId="21" fillId="7" borderId="0" applyAlignment="1" pivotButton="0" quotePrefix="0" xfId="0">
      <alignment horizontal="left" vertical="center" wrapText="1"/>
    </xf>
    <xf numFmtId="0" fontId="23" fillId="2" borderId="0" applyAlignment="1" pivotButton="0" quotePrefix="0" xfId="0">
      <alignment horizontal="center" vertical="center" wrapText="1"/>
    </xf>
    <xf numFmtId="0" fontId="24" fillId="3" borderId="0" applyAlignment="1" pivotButton="0" quotePrefix="0" xfId="0">
      <alignment horizontal="center" vertical="center" wrapText="1"/>
    </xf>
    <xf numFmtId="0" fontId="19" fillId="3" borderId="0" applyAlignment="1" pivotButton="0" quotePrefix="0" xfId="0">
      <alignment horizontal="left" vertical="center" wrapText="1"/>
    </xf>
    <xf numFmtId="0" fontId="25" fillId="7" borderId="0" applyAlignment="1" pivotButton="0" quotePrefix="0" xfId="0">
      <alignment horizontal="left" vertical="top" wrapText="1"/>
    </xf>
    <xf numFmtId="0" fontId="26" fillId="7" borderId="0" applyAlignment="1" pivotButton="0" quotePrefix="0" xfId="0">
      <alignment horizontal="left" vertical="top" wrapText="1"/>
    </xf>
    <xf numFmtId="0" fontId="27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27" fillId="7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28" fillId="8" borderId="1" applyAlignment="1" pivotButton="0" quotePrefix="0" xfId="0">
      <alignment horizontal="center" vertical="center" wrapText="1"/>
    </xf>
    <xf numFmtId="0" fontId="29" fillId="7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31" fillId="2" borderId="0" applyAlignment="1" pivotButton="0" quotePrefix="0" xfId="0">
      <alignment horizontal="center" vertical="center" wrapText="1"/>
    </xf>
    <xf numFmtId="0" fontId="32" fillId="3" borderId="1" applyAlignment="1" pivotButton="0" quotePrefix="0" xfId="0">
      <alignment horizontal="center" vertical="center" wrapText="1"/>
    </xf>
    <xf numFmtId="0" fontId="3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34" fillId="6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33" fillId="7" borderId="1" applyAlignment="1" pivotButton="0" quotePrefix="0" xfId="0">
      <alignment horizontal="left" vertical="center" wrapText="1"/>
    </xf>
    <xf numFmtId="0" fontId="34" fillId="7" borderId="1" applyAlignment="1" pivotButton="0" quotePrefix="0" xfId="0">
      <alignment horizontal="center" vertical="center" wrapText="1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7CC"/>
      <rgbColor rgb="FFEAF1FB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ColWidth="8.6796875" defaultRowHeight="16.5"/>
  <cols>
    <col width="4" customWidth="1" style="70" min="1" max="1"/>
    <col width="26" customWidth="1" style="70" min="2" max="2"/>
    <col width="40" customWidth="1" style="70" min="3" max="3"/>
    <col width="9" customWidth="1" style="70" min="4" max="5"/>
    <col width="10" customWidth="1" style="70" min="6" max="6"/>
    <col width="11" customWidth="1" style="70" min="7" max="7"/>
    <col width="30" customWidth="1" style="70" min="8" max="8"/>
  </cols>
  <sheetData>
    <row r="1" ht="36" customHeight="1" s="71">
      <c r="A1" s="72" t="inlineStr">
        <is>
          <t>Performance Evaluation Form</t>
        </is>
      </c>
    </row>
    <row r="2" ht="25.5" customHeight="1" s="71">
      <c r="A2" s="73" t="inlineStr">
        <is>
          <t>Each item scored 1–100, weighted to a 100-point total and converted to 1–5 (A–E) · Self-assessment first, then manager · Development-oriented, not automatic dismissal</t>
        </is>
      </c>
    </row>
    <row r="4" ht="19.5" customHeight="1" s="71">
      <c r="A4" s="74" t="inlineStr">
        <is>
          <t>I. Employee Information</t>
        </is>
      </c>
    </row>
    <row r="5" ht="25.5" customHeight="1" s="71">
      <c r="A5" s="75" t="inlineStr">
        <is>
          <t>Name</t>
        </is>
      </c>
      <c r="B5" s="76" t="n"/>
      <c r="C5" s="77" t="n"/>
      <c r="D5" s="75" t="inlineStr">
        <is>
          <t>Position</t>
        </is>
      </c>
      <c r="E5" s="78" t="n"/>
      <c r="F5" s="76" t="n"/>
      <c r="G5" s="77" t="n"/>
      <c r="H5" s="76" t="n"/>
    </row>
    <row r="6" ht="25.5" customHeight="1" s="71">
      <c r="A6" s="75" t="inlineStr">
        <is>
          <t>ID</t>
        </is>
      </c>
      <c r="B6" s="76" t="n"/>
      <c r="C6" s="77" t="n"/>
      <c r="D6" s="75" t="inlineStr">
        <is>
          <t>Line Manager</t>
        </is>
      </c>
      <c r="E6" s="78" t="n"/>
      <c r="F6" s="76" t="n"/>
      <c r="G6" s="77" t="n"/>
      <c r="H6" s="76" t="n"/>
    </row>
    <row r="7" ht="25.5" customHeight="1" s="71">
      <c r="A7" s="75" t="inlineStr">
        <is>
          <t>Department</t>
        </is>
      </c>
      <c r="B7" s="76" t="n"/>
      <c r="C7" s="77" t="n"/>
      <c r="D7" s="75" t="inlineStr">
        <is>
          <t>Level</t>
        </is>
      </c>
      <c r="E7" s="78" t="n"/>
      <c r="F7" s="76" t="n"/>
      <c r="G7" s="77" t="n"/>
      <c r="H7" s="76" t="n"/>
    </row>
    <row r="8" ht="25.5" customHeight="1" s="71">
      <c r="A8" s="75" t="inlineStr">
        <is>
          <t>Review Period</t>
        </is>
      </c>
      <c r="B8" s="76" t="n"/>
      <c r="C8" s="77" t="n"/>
      <c r="D8" s="75" t="inlineStr">
        <is>
          <t>Date</t>
        </is>
      </c>
      <c r="E8" s="78" t="n"/>
      <c r="F8" s="76" t="n"/>
      <c r="G8" s="77" t="n"/>
      <c r="H8" s="76" t="n"/>
    </row>
    <row r="9" ht="19.5" customHeight="1" s="71">
      <c r="A9" s="74" t="inlineStr">
        <is>
          <t>II. Performance Scoring (weights total = 100)</t>
        </is>
      </c>
    </row>
    <row r="10" ht="30" customHeight="1" s="71">
      <c r="A10" s="79" t="inlineStr">
        <is>
          <t>No.</t>
        </is>
      </c>
      <c r="B10" s="80" t="inlineStr">
        <is>
          <t>Dimension</t>
        </is>
      </c>
      <c r="C10" s="80" t="inlineStr">
        <is>
          <t>Objective criteria / evidence</t>
        </is>
      </c>
      <c r="D10" s="80" t="inlineStr">
        <is>
          <t>Weight %</t>
        </is>
      </c>
      <c r="E10" s="80" t="inlineStr">
        <is>
          <t>Self</t>
        </is>
      </c>
      <c r="F10" s="80" t="inlineStr">
        <is>
          <t>Manager</t>
        </is>
      </c>
      <c r="G10" s="80" t="inlineStr">
        <is>
          <t>Weighted</t>
        </is>
      </c>
      <c r="H10" s="80" t="inlineStr">
        <is>
          <t>Evidence / Comments</t>
        </is>
      </c>
    </row>
    <row r="11" ht="40.5" customHeight="1" s="71">
      <c r="A11" s="81" t="n">
        <v>1</v>
      </c>
      <c r="B11" s="82" t="inlineStr">
        <is>
          <t>Performance &amp; goal achievement</t>
        </is>
      </c>
      <c r="C11" s="83" t="inlineStr">
        <is>
          <t>Completion and results of key tasks/goals (see department KPI library)</t>
        </is>
      </c>
      <c r="D11" s="84" t="n">
        <v>30</v>
      </c>
      <c r="E11" s="84" t="n"/>
      <c r="F11" s="84" t="n"/>
      <c r="G11" s="85">
        <f>IF($F11="","",ROUND($D11*$F11/100,1))</f>
        <v/>
      </c>
      <c r="H11" s="86" t="n"/>
    </row>
    <row r="12" ht="40.5" customHeight="1" s="71">
      <c r="A12" s="87" t="n">
        <v>2</v>
      </c>
      <c r="B12" s="88" t="inlineStr">
        <is>
          <t>Cultural alignment, communication &amp; collaboration</t>
        </is>
      </c>
      <c r="C12" s="89" t="inlineStr">
        <is>
          <t>Identification with company culture, communication &amp; collaboration, knowledge sharing</t>
        </is>
      </c>
      <c r="D12" s="84" t="n">
        <v>30</v>
      </c>
      <c r="E12" s="84" t="n"/>
      <c r="F12" s="84" t="n"/>
      <c r="G12" s="85">
        <f>IF($F12="","",ROUND($D12*$F12/100,1))</f>
        <v/>
      </c>
      <c r="H12" s="86" t="n"/>
    </row>
    <row r="13" ht="40.5" customHeight="1" s="71">
      <c r="A13" s="87" t="n">
        <v>3</v>
      </c>
      <c r="B13" s="88" t="inlineStr">
        <is>
          <t>Work quality &amp; professional competence</t>
        </is>
      </c>
      <c r="C13" s="89" t="inlineStr">
        <is>
          <t>Technical depth, solution quality, defects/rework, documentation</t>
        </is>
      </c>
      <c r="D13" s="84" t="n">
        <v>20</v>
      </c>
      <c r="E13" s="84" t="n"/>
      <c r="F13" s="84" t="n"/>
      <c r="G13" s="85">
        <f>IF($F13="","",ROUND($D13*$F13/100,1))</f>
        <v/>
      </c>
      <c r="H13" s="86" t="n"/>
    </row>
    <row r="14" ht="40.5" customHeight="1" s="71">
      <c r="A14" s="87" t="n">
        <v>4</v>
      </c>
      <c r="B14" s="88" t="inlineStr">
        <is>
          <t>Compliance, safety &amp; data protection</t>
        </is>
      </c>
      <c r="C14" s="89" t="inlineStr">
        <is>
          <t>Process/regulatory compliance, functional &amp; test safety, GDPR &amp; information security</t>
        </is>
      </c>
      <c r="D14" s="84" t="n">
        <v>10</v>
      </c>
      <c r="E14" s="84" t="n"/>
      <c r="F14" s="84" t="n"/>
      <c r="G14" s="85">
        <f>IF($F14="","",ROUND($D14*$F14/100,1))</f>
        <v/>
      </c>
      <c r="H14" s="86" t="n"/>
    </row>
    <row r="15" ht="40.5" customHeight="1" s="71">
      <c r="A15" s="87" t="n">
        <v>5</v>
      </c>
      <c r="B15" s="88" t="inlineStr">
        <is>
          <t>Innovation &amp; continuous improvement</t>
        </is>
      </c>
      <c r="C15" s="89" t="inlineStr">
        <is>
          <t>Improvement proposals, reuse, efficiency gains, patents &amp; methods</t>
        </is>
      </c>
      <c r="D15" s="84" t="n">
        <v>10</v>
      </c>
      <c r="E15" s="84" t="n"/>
      <c r="F15" s="84" t="n"/>
      <c r="G15" s="85">
        <f>IF($F15="","",ROUND($D15*$F15/100,1))</f>
        <v/>
      </c>
      <c r="H15" s="86" t="n"/>
    </row>
    <row r="16" ht="5" customHeight="1" s="71">
      <c r="A16" s="90" t="n"/>
      <c r="B16" s="91" t="n"/>
      <c r="C16" s="92" t="n"/>
      <c r="D16" s="93" t="n"/>
      <c r="E16" s="93" t="n"/>
      <c r="F16" s="93" t="n"/>
      <c r="G16" s="94">
        <f/>
        <v/>
      </c>
      <c r="H16" s="95" t="n"/>
    </row>
    <row r="17" ht="21.75" customHeight="1" s="71">
      <c r="A17" s="96" t="n"/>
      <c r="B17" s="97" t="inlineStr">
        <is>
          <t>Total weight (must equal 100)</t>
        </is>
      </c>
      <c r="C17" s="76" t="n"/>
      <c r="D17" s="98">
        <f>SUM(D11:D15)</f>
        <v/>
      </c>
      <c r="E17" s="96" t="n"/>
      <c r="F17" s="96" t="n"/>
      <c r="G17" s="96" t="n"/>
      <c r="H17" s="99" t="inlineStr">
        <is>
          <t>↑ must equal 100</t>
        </is>
      </c>
    </row>
    <row r="18" ht="24" customHeight="1" s="71">
      <c r="A18" s="100" t="n"/>
      <c r="B18" s="101" t="inlineStr">
        <is>
          <t>Total score, manager (out of 100)</t>
        </is>
      </c>
      <c r="C18" s="78" t="n"/>
      <c r="D18" s="78" t="n"/>
      <c r="E18" s="78" t="n"/>
      <c r="F18" s="78" t="n"/>
      <c r="G18" s="102">
        <f>IF(COUNT(F11:F15)&lt;5,"",ROUND(SUM(G11:G15),1))</f>
        <v/>
      </c>
      <c r="H18" s="100" t="n"/>
    </row>
    <row r="19" ht="19.5" customHeight="1" s="71">
      <c r="A19" s="96" t="n"/>
      <c r="B19" s="103" t="inlineStr">
        <is>
          <t>Self-assessment total (reference)</t>
        </is>
      </c>
      <c r="C19" s="78" t="n"/>
      <c r="D19" s="78" t="n"/>
      <c r="E19" s="78" t="n"/>
      <c r="F19" s="78" t="n"/>
      <c r="G19" s="85">
        <f>IF(COUNT(E11:E15)&lt;5,"",ROUND(SUMPRODUCT(D11:D15,E11:E15)/100,1))</f>
        <v/>
      </c>
      <c r="H19" s="96" t="n"/>
    </row>
    <row r="20" ht="25.5" customHeight="1" s="71">
      <c r="A20" s="104" t="n"/>
      <c r="B20" s="105" t="inlineStr">
        <is>
          <t>Rating</t>
        </is>
      </c>
      <c r="C20" s="78" t="n"/>
      <c r="D20" s="78" t="n"/>
      <c r="E20" s="78" t="n"/>
      <c r="F20" s="78" t="n"/>
      <c r="G20" s="106">
        <f>IF(G18="","",IF(G18&gt;=90,"A Excellent",IF(G18&gt;=80,"B Good",IF(G18&gt;=60,"C Competent",IF(G18&gt;=40,"D Needs improvement","E Unsatisfactory"))))&amp;" · "&amp;ROUND(G18/20,2)&amp;"/5")</f>
        <v/>
      </c>
      <c r="H20" s="76" t="n"/>
    </row>
    <row r="22" ht="19.5" customHeight="1" s="71">
      <c r="A22" s="74" t="inlineStr">
        <is>
          <t>III. Goals, Achievements &amp; Development</t>
        </is>
      </c>
    </row>
    <row r="23" ht="45.75" customHeight="1" s="71">
      <c r="A23" s="75" t="inlineStr">
        <is>
          <t>Key achievements</t>
        </is>
      </c>
      <c r="B23" s="76" t="n"/>
      <c r="C23" s="107" t="inlineStr">
        <is>
          <t>Describe key achievements with facts and data</t>
        </is>
      </c>
      <c r="D23" s="78" t="n"/>
      <c r="E23" s="78" t="n"/>
      <c r="F23" s="78" t="n"/>
      <c r="G23" s="78" t="n"/>
      <c r="H23" s="76" t="n"/>
    </row>
    <row r="24" ht="45.75" customHeight="1" s="71">
      <c r="A24" s="75" t="inlineStr">
        <is>
          <t>Improvement &amp; development</t>
        </is>
      </c>
      <c r="B24" s="76" t="n"/>
      <c r="C24" s="107" t="inlineStr">
        <is>
          <t>Areas for improvement, development actions, training needs</t>
        </is>
      </c>
      <c r="D24" s="78" t="n"/>
      <c r="E24" s="78" t="n"/>
      <c r="F24" s="78" t="n"/>
      <c r="G24" s="78" t="n"/>
      <c r="H24" s="76" t="n"/>
    </row>
    <row r="25" ht="45.75" customHeight="1" s="71">
      <c r="A25" s="75" t="inlineStr">
        <is>
          <t>Next-period goals</t>
        </is>
      </c>
      <c r="B25" s="76" t="n"/>
      <c r="C25" s="107" t="inlineStr">
        <is>
          <t>Key goals and priorities for the next period</t>
        </is>
      </c>
      <c r="D25" s="78" t="n"/>
      <c r="E25" s="78" t="n"/>
      <c r="F25" s="78" t="n"/>
      <c r="G25" s="78" t="n"/>
      <c r="H25" s="76" t="n"/>
    </row>
    <row r="27" ht="19.5" customHeight="1" s="71">
      <c r="A27" s="74" t="inlineStr">
        <is>
          <t>IV. Use of Results</t>
        </is>
      </c>
    </row>
    <row r="28" ht="49.5" customHeight="1" s="71">
      <c r="A28" s="108" t="inlineStr">
        <is>
          <t>C or above: development, promotion input and variable pay (per the applicable collective agreement).  D/E: a Performance Improvement Plan (PIP, 60–90 days) is launched, with support and documentation; results do not imply automatic dismissal — any termination follows a separate procedure under Spanish law.</t>
        </is>
      </c>
      <c r="B28" s="78" t="n"/>
      <c r="C28" s="78" t="n"/>
      <c r="D28" s="78" t="n"/>
      <c r="E28" s="78" t="n"/>
      <c r="F28" s="78" t="n"/>
      <c r="G28" s="78" t="n"/>
      <c r="H28" s="78" t="n"/>
    </row>
    <row r="29" ht="21.75" customHeight="1" s="71">
      <c r="A29" s="109" t="inlineStr">
        <is>
          <t>PIP triggered?</t>
        </is>
      </c>
      <c r="B29" s="78" t="n"/>
      <c r="C29" s="85">
        <f>IF(G18="","",IF(G18&lt;60,"Yes — prepare an improvement plan","No"))</f>
        <v/>
      </c>
      <c r="D29" s="110" t="inlineStr">
        <is>
          <t>(triggered automatically if total score &lt; 60)</t>
        </is>
      </c>
      <c r="E29" s="78" t="n"/>
      <c r="F29" s="78" t="n"/>
      <c r="G29" s="78" t="n"/>
      <c r="H29" s="76" t="n"/>
    </row>
    <row r="31" ht="19.5" customHeight="1" s="71">
      <c r="A31" s="74" t="inlineStr">
        <is>
          <t>V. Acknowledgement &amp; Signatures</t>
        </is>
      </c>
    </row>
    <row r="32" ht="31.5" customHeight="1" s="71">
      <c r="A32" s="111" t="inlineStr">
        <is>
          <t>The employee has the right to read the evaluation, submit written comments and appeal (see the policy document). Signing acknowledges receipt, not necessarily agreement with the content.</t>
        </is>
      </c>
      <c r="B32" s="78" t="n"/>
      <c r="C32" s="78" t="n"/>
      <c r="D32" s="78" t="n"/>
      <c r="E32" s="78" t="n"/>
      <c r="F32" s="78" t="n"/>
      <c r="G32" s="78" t="n"/>
      <c r="H32" s="78" t="n"/>
    </row>
    <row r="33" ht="18" customHeight="1" s="71">
      <c r="A33" s="112" t="inlineStr">
        <is>
          <t>Employee signature</t>
        </is>
      </c>
      <c r="B33" s="78" t="n"/>
      <c r="C33" s="76" t="n"/>
      <c r="D33" s="112" t="inlineStr">
        <is>
          <t>Line Manager</t>
        </is>
      </c>
      <c r="E33" s="78" t="n"/>
      <c r="F33" s="76" t="n"/>
      <c r="G33" s="112" t="inlineStr">
        <is>
          <t>HR</t>
        </is>
      </c>
      <c r="H33" s="76" t="n"/>
    </row>
    <row r="34" ht="33.75" customHeight="1" s="71">
      <c r="A34" s="113" t="n"/>
      <c r="B34" s="78" t="n"/>
      <c r="C34" s="76" t="n"/>
      <c r="D34" s="113" t="n"/>
      <c r="E34" s="78" t="n"/>
      <c r="F34" s="76" t="n"/>
      <c r="G34" s="113" t="n"/>
      <c r="H34" s="76" t="n"/>
    </row>
    <row r="35" ht="18" customHeight="1" s="71">
      <c r="A35" s="89" t="inlineStr">
        <is>
          <t>Date:</t>
        </is>
      </c>
      <c r="B35" s="78" t="n"/>
      <c r="C35" s="76" t="n"/>
      <c r="D35" s="89" t="inlineStr">
        <is>
          <t>Date:</t>
        </is>
      </c>
      <c r="E35" s="78" t="n"/>
      <c r="F35" s="76" t="n"/>
      <c r="G35" s="89" t="inlineStr">
        <is>
          <t>Date:</t>
        </is>
      </c>
      <c r="H35" s="76" t="n"/>
    </row>
    <row r="37" ht="25.5" customHeight="1" s="71">
      <c r="A37" s="114" t="inlineStr">
        <is>
          <t>Data protection: This form contains personal data processed for evaluation purposes under the GDPR/LOPDGDD, retained for a limited period; employees may exercise their rights of access, rectification, etc.</t>
        </is>
      </c>
    </row>
  </sheetData>
  <mergeCells count="44">
    <mergeCell ref="A9:H9"/>
    <mergeCell ref="C25:H25"/>
    <mergeCell ref="A24:B24"/>
    <mergeCell ref="A1:H1"/>
    <mergeCell ref="D7:F7"/>
    <mergeCell ref="G8:H8"/>
    <mergeCell ref="A6:B6"/>
    <mergeCell ref="B18:F18"/>
    <mergeCell ref="A33:C33"/>
    <mergeCell ref="A7:B7"/>
    <mergeCell ref="G7:H7"/>
    <mergeCell ref="A25:B25"/>
    <mergeCell ref="C23:H23"/>
    <mergeCell ref="G6:H6"/>
    <mergeCell ref="B17:C17"/>
    <mergeCell ref="A35:C35"/>
    <mergeCell ref="D8:F8"/>
    <mergeCell ref="A27:H27"/>
    <mergeCell ref="A37:H37"/>
    <mergeCell ref="D33:F33"/>
    <mergeCell ref="G34:H34"/>
    <mergeCell ref="D5:F5"/>
    <mergeCell ref="A2:H2"/>
    <mergeCell ref="G33:H33"/>
    <mergeCell ref="A5:B5"/>
    <mergeCell ref="G5:H5"/>
    <mergeCell ref="B19:F19"/>
    <mergeCell ref="D35:F35"/>
    <mergeCell ref="A23:B23"/>
    <mergeCell ref="A34:C34"/>
    <mergeCell ref="A32:H32"/>
    <mergeCell ref="A8:B8"/>
    <mergeCell ref="D34:F34"/>
    <mergeCell ref="A22:H22"/>
    <mergeCell ref="G35:H35"/>
    <mergeCell ref="A4:H4"/>
    <mergeCell ref="G20:H20"/>
    <mergeCell ref="C24:H24"/>
    <mergeCell ref="A29:B29"/>
    <mergeCell ref="B20:F20"/>
    <mergeCell ref="A28:H28"/>
    <mergeCell ref="D29:H29"/>
    <mergeCell ref="D6:F6"/>
    <mergeCell ref="A31:H31"/>
  </mergeCells>
  <dataValidations count="1">
    <dataValidation sqref="E11:F16" showDropDown="0" showInputMessage="1" showErrorMessage="1" allowBlank="1" errorTitle="Out of range" error="Enter a whole number between 1 and 100." promptTitle="Score 1–100" prompt="A≥90 B≥80 C≥60 D≥40 E&lt;40" type="whole" errorStyle="stop" operator="between">
      <formula1>1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ColWidth="8.6796875" defaultRowHeight="16.5"/>
  <cols>
    <col width="3" customWidth="1" style="70" min="1" max="1"/>
    <col width="30" customWidth="1" style="70" min="2" max="4"/>
    <col width="18" customWidth="1" style="70" min="5" max="5"/>
  </cols>
  <sheetData>
    <row r="1" ht="45.75" customHeight="1" s="71">
      <c r="A1" s="115" t="inlineStr">
        <is>
          <t>Local Employee Performance Evaluation · Instructions &amp; Compliance Notes</t>
        </is>
      </c>
    </row>
    <row r="2" ht="30" customHeight="1" s="71">
      <c r="A2" s="116" t="inlineStr">
        <is>
          <t>Applicable to R&amp;D departments in Spain · English version · Compliant with Spanish labour law and the GDPR</t>
        </is>
      </c>
    </row>
    <row r="4" ht="21.75" customHeight="1" s="71">
      <c r="A4" s="117" t="inlineStr">
        <is>
          <t>1. Purpose</t>
        </is>
      </c>
    </row>
    <row r="5" ht="57" customHeight="1" s="71">
      <c r="A5" s="118" t="inlineStr">
        <is>
          <t>Establish a transparent, objective and measurable evaluation system, aligned with company goals, supporting employee development and fair incentives. The system serves development and improvement; it is not grounds for automatic dismissal.</t>
        </is>
      </c>
    </row>
    <row r="7" ht="21.75" customHeight="1" s="71">
      <c r="A7" s="117" t="inlineStr">
        <is>
          <t>2. Legal &amp; Compliance Principles</t>
        </is>
      </c>
    </row>
    <row r="8" ht="237" customHeight="1" s="71">
      <c r="A8" s="118" t="inlineStr">
        <is>
          <t>• Transparency, objectivity, fairness and non-discrimination: criteria are communicated in advance and based on measurable facts and job-related behaviour.
• Data protection (GDPR/LOPDGDD): performance data are personal data — used only for their purpose, retained for a limited period, with rights of access, rectification, etc.
• Right to digital disconnection: availability outside working hours is not scored, and exercising this right is never penalised.
• Working-time records and work-life balance: performance is measured by output and results, not overtime or presence.
• Applicable collective agreement (convenio): promotion and variable pay must comply with the applicable agreement (e.g. metal / engineering sector).
• Employee representatives (works council / comité de empresa): the introduction of and substantial changes to this system are notified to employee representatives as required by law.</t>
        </is>
      </c>
    </row>
    <row r="10" ht="21.75" customHeight="1" s="71">
      <c r="A10" s="117" t="inlineStr">
        <is>
          <t>3. Scoring Method</t>
        </is>
      </c>
    </row>
    <row r="11" ht="117" customHeight="1" s="71">
      <c r="A11" s="118" t="inlineStr">
        <is>
          <t>Five common dimensions apply to all employees. Each dimension is scored 1–100; weights total 100% (default weights are provided; departments may fine-tune them by role, provided they total 100% and are communicated in advance). Weighted total = Σ(weight × score) ÷ 100, out of 100; converted score = total ÷ 20 (1–5 scale), with ratings A≥90, B≥80, C≥60, D≥40, E&lt;40. Recommended sequence: self-assessment, then manager evaluation, then calibration for consistency.</t>
        </is>
      </c>
    </row>
    <row r="13" ht="21.75" customHeight="1" s="71">
      <c r="A13" s="117" t="inlineStr">
        <is>
          <t>4. Reference Distribution (non-binding)</t>
        </is>
      </c>
    </row>
    <row r="14" ht="87" customHeight="1" s="71">
      <c r="A14" s="118" t="inlineStr">
        <is>
          <t>To support fair calibration, an indicative distribution may be used (e.g. A≈10%, B≈20%, C≈55%, D≈10%, E≈5%). It is a reference for calibration discussions only — NOT a mandatory quota, and it must never be used to dismiss the lowest-ranked ("rank-and-yank"), which is unlawful in Spain.</t>
        </is>
      </c>
    </row>
    <row r="16" ht="21.75" customHeight="1" s="71">
      <c r="A16" s="117" t="inlineStr">
        <is>
          <t>5. Use of Results</t>
        </is>
      </c>
    </row>
    <row r="17" ht="132" customHeight="1" s="71">
      <c r="A17" s="119" t="inlineStr">
        <is>
          <t>• C or above: normal incentives, development and promotion input; variable pay calculated per the applicable agreement.
• D / E: a Performance Improvement Plan (PIP) is launched, with 60–90 day goals, support and documented follow-up. Results do not imply automatic dismissal; any termination follows a separate procedure under Spanish law (Art. 52 objective / Art. 54 disciplinary), with its own evidentiary and formal requirements.</t>
        </is>
      </c>
    </row>
    <row r="19" ht="21.75" customHeight="1" s="71">
      <c r="A19" s="117" t="inlineStr">
        <is>
          <t>6. Colours &amp; Data Entry</t>
        </is>
      </c>
    </row>
    <row r="20" ht="57" customHeight="1" s="71">
      <c r="A20" s="118" t="inlineStr">
        <is>
          <t>Yellow cells are for input (weights, self-assessment, manager scores, evidence and text). All other cells are calculated by formula — do not edit them.</t>
        </is>
      </c>
    </row>
  </sheetData>
  <mergeCells count="14">
    <mergeCell ref="A4:E4"/>
    <mergeCell ref="A20:E20"/>
    <mergeCell ref="A2:E2"/>
    <mergeCell ref="A16:E16"/>
    <mergeCell ref="A7:E7"/>
    <mergeCell ref="A10:E10"/>
    <mergeCell ref="A19:E19"/>
    <mergeCell ref="A11:E11"/>
    <mergeCell ref="A8:E8"/>
    <mergeCell ref="A1:E1"/>
    <mergeCell ref="A5:E5"/>
    <mergeCell ref="A13:E13"/>
    <mergeCell ref="A14:E14"/>
    <mergeCell ref="A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ColWidth="8.6796875" defaultRowHeight="16.5"/>
  <cols>
    <col width="22" customWidth="1" style="70" min="1" max="1"/>
    <col width="16" customWidth="1" style="70" min="2" max="6"/>
  </cols>
  <sheetData>
    <row r="1" ht="31.5" customHeight="1" s="71">
      <c r="A1" s="115" t="inlineStr">
        <is>
          <t>Scoring Criteria (1–100 anchors)</t>
        </is>
      </c>
    </row>
    <row r="2" ht="27.75" customHeight="1" s="71">
      <c r="A2" s="73" t="inlineStr">
        <is>
          <t>Score based on facts, data and job-related behaviour; avoid first impressions or factors unrelated to the job (e.g. age, origin, accent).</t>
        </is>
      </c>
    </row>
    <row r="4" ht="24" customHeight="1" s="71">
      <c r="A4" s="80" t="inlineStr">
        <is>
          <t>Score</t>
        </is>
      </c>
      <c r="B4" s="80" t="inlineStr">
        <is>
          <t>Level</t>
        </is>
      </c>
      <c r="C4" s="80" t="inlineStr">
        <is>
          <t>Results</t>
        </is>
      </c>
      <c r="D4" s="80" t="inlineStr">
        <is>
          <t>Quality</t>
        </is>
      </c>
      <c r="E4" s="80" t="inlineStr">
        <is>
          <t>Autonomy</t>
        </is>
      </c>
      <c r="F4" s="80" t="inlineStr">
        <is>
          <t>Impact</t>
        </is>
      </c>
    </row>
    <row r="5" ht="45.75" customHeight="1" s="71">
      <c r="A5" s="120" t="inlineStr">
        <is>
          <t>90–100</t>
        </is>
      </c>
      <c r="B5" s="121" t="inlineStr">
        <is>
          <t>Excellent</t>
        </is>
      </c>
      <c r="C5" s="121" t="inlineStr">
        <is>
          <t>Consistently far above targets</t>
        </is>
      </c>
      <c r="D5" s="121" t="inlineStr">
        <is>
          <t>Benchmark quality, near-zero defects</t>
        </is>
      </c>
      <c r="E5" s="121" t="inlineStr">
        <is>
          <t>Fully self-driven, leads others</t>
        </is>
      </c>
      <c r="F5" s="121" t="inlineStr">
        <is>
          <t>Cross-department / company-wide impact</t>
        </is>
      </c>
    </row>
    <row r="6" ht="45.75" customHeight="1" s="71">
      <c r="A6" s="122" t="inlineStr">
        <is>
          <t>80–89</t>
        </is>
      </c>
      <c r="B6" s="89" t="inlineStr">
        <is>
          <t>Good</t>
        </is>
      </c>
      <c r="C6" s="89" t="inlineStr">
        <is>
          <t>Meets and partly exceeds</t>
        </is>
      </c>
      <c r="D6" s="89" t="inlineStr">
        <is>
          <t>High quality, little rework</t>
        </is>
      </c>
      <c r="E6" s="89" t="inlineStr">
        <is>
          <t>Works independently</t>
        </is>
      </c>
      <c r="F6" s="89" t="inlineStr">
        <is>
          <t>Team-level impact</t>
        </is>
      </c>
    </row>
    <row r="7" ht="45.75" customHeight="1" s="71">
      <c r="A7" s="120" t="inlineStr">
        <is>
          <t>60–79</t>
        </is>
      </c>
      <c r="B7" s="121" t="inlineStr">
        <is>
          <t>Competent</t>
        </is>
      </c>
      <c r="C7" s="121" t="inlineStr">
        <is>
          <t>Broadly meets targets</t>
        </is>
      </c>
      <c r="D7" s="121" t="inlineStr">
        <is>
          <t>Acceptable quality</t>
        </is>
      </c>
      <c r="E7" s="121" t="inlineStr">
        <is>
          <t>Needs occasional guidance</t>
        </is>
      </c>
      <c r="F7" s="121" t="inlineStr">
        <is>
          <t>Own-scope impact</t>
        </is>
      </c>
    </row>
    <row r="8" ht="45.75" customHeight="1" s="71">
      <c r="A8" s="122" t="inlineStr">
        <is>
          <t>40–59</t>
        </is>
      </c>
      <c r="B8" s="89" t="inlineStr">
        <is>
          <t>Needs improvement</t>
        </is>
      </c>
      <c r="C8" s="89" t="inlineStr">
        <is>
          <t>Partly meets, with gaps</t>
        </is>
      </c>
      <c r="D8" s="89" t="inlineStr">
        <is>
          <t>Inconsistent quality, frequent rework</t>
        </is>
      </c>
      <c r="E8" s="89" t="inlineStr">
        <is>
          <t>Needs close supervision</t>
        </is>
      </c>
      <c r="F8" s="89" t="inlineStr">
        <is>
          <t>Others must step in</t>
        </is>
      </c>
    </row>
    <row r="9" ht="45.75" customHeight="1" s="71">
      <c r="A9" s="120" t="inlineStr">
        <is>
          <t>&lt;40</t>
        </is>
      </c>
      <c r="B9" s="121" t="inlineStr">
        <is>
          <t>Unsatisfactory</t>
        </is>
      </c>
      <c r="C9" s="121" t="inlineStr">
        <is>
          <t>Clearly misses targets</t>
        </is>
      </c>
      <c r="D9" s="121" t="inlineStr">
        <is>
          <t>Unacceptable defect level</t>
        </is>
      </c>
      <c r="E9" s="121" t="inlineStr">
        <is>
          <t>Cannot work independently</t>
        </is>
      </c>
      <c r="F9" s="121" t="inlineStr">
        <is>
          <t>Causes rework / risk</t>
        </is>
      </c>
    </row>
    <row r="11" ht="19.5" customHeight="1" s="71">
      <c r="A11" s="74" t="inlineStr">
        <is>
          <t>Total score → rating</t>
        </is>
      </c>
    </row>
    <row r="12" ht="21.75" customHeight="1" s="71">
      <c r="A12" s="123" t="inlineStr">
        <is>
          <t>Rating</t>
        </is>
      </c>
      <c r="B12" s="80" t="inlineStr">
        <is>
          <t>Range</t>
        </is>
      </c>
      <c r="C12" s="124" t="inlineStr">
        <is>
          <t>Meaning</t>
        </is>
      </c>
      <c r="D12" s="76" t="n"/>
      <c r="E12" s="124" t="inlineStr">
        <is>
          <t>Application</t>
        </is>
      </c>
      <c r="F12" s="76" t="n"/>
    </row>
    <row r="13" ht="27.75" customHeight="1" s="71">
      <c r="A13" s="125" t="inlineStr">
        <is>
          <t>A</t>
        </is>
      </c>
      <c r="B13" s="126" t="inlineStr">
        <is>
          <t>90–100 (4.5–5)</t>
        </is>
      </c>
      <c r="C13" s="127" t="inlineStr">
        <is>
          <t>Excellent</t>
        </is>
      </c>
      <c r="D13" s="76" t="n"/>
      <c r="E13" s="89" t="inlineStr">
        <is>
          <t>Top incentives, promotion candidate</t>
        </is>
      </c>
      <c r="F13" s="76" t="n"/>
    </row>
    <row r="14" ht="27.75" customHeight="1" s="71">
      <c r="A14" s="125" t="inlineStr">
        <is>
          <t>B</t>
        </is>
      </c>
      <c r="B14" s="126" t="inlineStr">
        <is>
          <t>80–89 (4–4.5)</t>
        </is>
      </c>
      <c r="C14" s="127" t="inlineStr">
        <is>
          <t>Good</t>
        </is>
      </c>
      <c r="D14" s="76" t="n"/>
      <c r="E14" s="89" t="inlineStr">
        <is>
          <t>Strong incentives, development opportunities</t>
        </is>
      </c>
      <c r="F14" s="76" t="n"/>
    </row>
    <row r="15" ht="27.75" customHeight="1" s="71">
      <c r="A15" s="125" t="inlineStr">
        <is>
          <t>C</t>
        </is>
      </c>
      <c r="B15" s="126" t="inlineStr">
        <is>
          <t>60–79 (3–4)</t>
        </is>
      </c>
      <c r="C15" s="127" t="inlineStr">
        <is>
          <t>Competent</t>
        </is>
      </c>
      <c r="D15" s="76" t="n"/>
      <c r="E15" s="89" t="inlineStr">
        <is>
          <t>Normal incentives and development</t>
        </is>
      </c>
      <c r="F15" s="76" t="n"/>
    </row>
    <row r="16" ht="27.75" customHeight="1" s="71">
      <c r="A16" s="125" t="inlineStr">
        <is>
          <t>D</t>
        </is>
      </c>
      <c r="B16" s="126" t="inlineStr">
        <is>
          <t>40–59 (2–3)</t>
        </is>
      </c>
      <c r="C16" s="127" t="inlineStr">
        <is>
          <t>Needs improvement</t>
        </is>
      </c>
      <c r="D16" s="76" t="n"/>
      <c r="E16" s="89" t="inlineStr">
        <is>
          <t>Performance Improvement Plan (PIP)</t>
        </is>
      </c>
      <c r="F16" s="76" t="n"/>
    </row>
    <row r="17" ht="27.75" customHeight="1" s="71">
      <c r="A17" s="125" t="inlineStr">
        <is>
          <t>E</t>
        </is>
      </c>
      <c r="B17" s="126" t="inlineStr">
        <is>
          <t>&lt;40 (1–2)</t>
        </is>
      </c>
      <c r="C17" s="127" t="inlineStr">
        <is>
          <t>Unsatisfactory</t>
        </is>
      </c>
      <c r="D17" s="76" t="n"/>
      <c r="E17" s="128" t="inlineStr">
        <is>
          <t>PIP + close follow-up</t>
        </is>
      </c>
      <c r="F17" s="76" t="n"/>
    </row>
  </sheetData>
  <mergeCells count="15">
    <mergeCell ref="A2:F2"/>
    <mergeCell ref="A11:F11"/>
    <mergeCell ref="C12:D12"/>
    <mergeCell ref="E12:F12"/>
    <mergeCell ref="E16:F16"/>
    <mergeCell ref="C16:D16"/>
    <mergeCell ref="E15:F15"/>
    <mergeCell ref="C15:D15"/>
    <mergeCell ref="A1:F1"/>
    <mergeCell ref="C14:D14"/>
    <mergeCell ref="E13:F13"/>
    <mergeCell ref="C13:D13"/>
    <mergeCell ref="E14:F14"/>
    <mergeCell ref="E17:F17"/>
    <mergeCell ref="C17: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ColWidth="8.6796875" defaultRowHeight="16.5"/>
  <cols>
    <col width="20" customWidth="1" style="70" min="1" max="3"/>
    <col width="7" customWidth="1" style="70" min="4" max="5"/>
    <col width="8" customWidth="1" style="70" min="6" max="6"/>
    <col width="18" customWidth="1" style="70" min="7" max="7"/>
  </cols>
  <sheetData>
    <row r="1" ht="31.5" customHeight="1" s="71">
      <c r="A1" s="129" t="inlineStr">
        <is>
          <t>Department KPI Library (for the "Performance &amp; goal achievement" dimension)</t>
        </is>
      </c>
    </row>
    <row r="2" ht="27.75" customHeight="1" s="71">
      <c r="A2" s="73" t="inlineStr">
        <is>
          <t>Use these quantifiable KPIs as a reference to set and assess goals by role; goals should be SMART, with clear achievement criteria and data sources.</t>
        </is>
      </c>
    </row>
    <row r="3" ht="30" customHeight="1" s="71">
      <c r="A3" s="80" t="inlineStr">
        <is>
          <t>Department</t>
        </is>
      </c>
      <c r="B3" s="79" t="inlineStr">
        <is>
          <t>KPI</t>
        </is>
      </c>
      <c r="C3" s="79" t="inlineStr">
        <is>
          <t>Definition / formula</t>
        </is>
      </c>
      <c r="D3" s="80" t="inlineStr">
        <is>
          <t>Dir.</t>
        </is>
      </c>
      <c r="E3" s="80" t="inlineStr">
        <is>
          <t>Data source</t>
        </is>
      </c>
    </row>
    <row r="4" ht="30" customHeight="1" s="71">
      <c r="A4" s="130" t="inlineStr">
        <is>
          <t>Product Co-Creation</t>
        </is>
      </c>
      <c r="B4" s="131" t="inlineStr">
        <is>
          <t>User requirement closure rate</t>
        </is>
      </c>
      <c r="C4" s="132" t="inlineStr">
        <is>
          <t>% of requirements converted into validated specifications</t>
        </is>
      </c>
      <c r="D4" s="133" t="inlineStr">
        <is>
          <t>↑</t>
        </is>
      </c>
      <c r="E4" s="132" t="inlineStr">
        <is>
          <t>PLM / requirements system</t>
        </is>
      </c>
    </row>
    <row r="5" ht="30" customHeight="1" s="71">
      <c r="A5" s="134" t="n"/>
      <c r="B5" s="131" t="inlineStr">
        <is>
          <t>Co-creation activity delivery</t>
        </is>
      </c>
      <c r="C5" s="132" t="inlineStr">
        <is>
          <t>Number and quality of co-creation workshops vs. plan</t>
        </is>
      </c>
      <c r="D5" s="133" t="inlineStr">
        <is>
          <t>↑</t>
        </is>
      </c>
      <c r="E5" s="83" t="inlineStr">
        <is>
          <t>Project plan</t>
        </is>
      </c>
    </row>
    <row r="6" ht="30" customHeight="1" s="71">
      <c r="A6" s="134" t="n"/>
      <c r="B6" s="131" t="inlineStr">
        <is>
          <t>Product definition milestone rate</t>
        </is>
      </c>
      <c r="C6" s="132" t="inlineStr">
        <is>
          <t>% of definition milestones on time</t>
        </is>
      </c>
      <c r="D6" s="133" t="inlineStr">
        <is>
          <t>↑</t>
        </is>
      </c>
      <c r="E6" s="83" t="inlineStr">
        <is>
          <t>Project management</t>
        </is>
      </c>
    </row>
    <row r="7" ht="30" customHeight="1" s="71">
      <c r="A7" s="134" t="n"/>
      <c r="B7" s="131" t="inlineStr">
        <is>
          <t>Product satisfaction (NPS)</t>
        </is>
      </c>
      <c r="C7" s="132" t="inlineStr">
        <is>
          <t>Target-user satisfaction score (NPS)</t>
        </is>
      </c>
      <c r="D7" s="133" t="inlineStr">
        <is>
          <t>↑</t>
        </is>
      </c>
      <c r="E7" s="83" t="inlineStr">
        <is>
          <t>User research</t>
        </is>
      </c>
    </row>
    <row r="8" ht="30" customHeight="1" s="71">
      <c r="A8" s="135" t="n"/>
      <c r="B8" s="131" t="inlineStr">
        <is>
          <t>Requirement handover lead time</t>
        </is>
      </c>
      <c r="C8" s="132" t="inlineStr">
        <is>
          <t>Average handover time to engineering</t>
        </is>
      </c>
      <c r="D8" s="133" t="inlineStr">
        <is>
          <t>↓</t>
        </is>
      </c>
      <c r="E8" s="132" t="inlineStr">
        <is>
          <t>PLM</t>
        </is>
      </c>
    </row>
    <row r="9" ht="30" customHeight="1" s="71">
      <c r="A9" s="130" t="inlineStr">
        <is>
          <t>Operations Management</t>
        </is>
      </c>
      <c r="B9" s="136" t="inlineStr">
        <is>
          <t>Process / SLA compliance rate</t>
        </is>
      </c>
      <c r="C9" s="128" t="inlineStr">
        <is>
          <t>% of processes completed within SLA</t>
        </is>
      </c>
      <c r="D9" s="137" t="inlineStr">
        <is>
          <t>↑</t>
        </is>
      </c>
      <c r="E9" s="89" t="inlineStr">
        <is>
          <t>Operations system</t>
        </is>
      </c>
    </row>
    <row r="10" ht="30" customHeight="1" s="71">
      <c r="A10" s="134" t="n"/>
      <c r="B10" s="136" t="inlineStr">
        <is>
          <t>Budget / cost variance</t>
        </is>
      </c>
      <c r="C10" s="128" t="inlineStr">
        <is>
          <t>% variance vs. budget</t>
        </is>
      </c>
      <c r="D10" s="137" t="inlineStr">
        <is>
          <t>↓</t>
        </is>
      </c>
      <c r="E10" s="89" t="inlineStr">
        <is>
          <t>Finance system</t>
        </is>
      </c>
    </row>
    <row r="11" ht="30" customHeight="1" s="71">
      <c r="A11" s="134" t="n"/>
      <c r="B11" s="136" t="inlineStr">
        <is>
          <t>Operational milestone completion</t>
        </is>
      </c>
      <c r="C11" s="128" t="inlineStr">
        <is>
          <t>% of operational milestones on time</t>
        </is>
      </c>
      <c r="D11" s="137" t="inlineStr">
        <is>
          <t>↑</t>
        </is>
      </c>
      <c r="E11" s="89" t="inlineStr">
        <is>
          <t>Project management</t>
        </is>
      </c>
    </row>
    <row r="12" ht="30" customHeight="1" s="71">
      <c r="A12" s="134" t="n"/>
      <c r="B12" s="136" t="inlineStr">
        <is>
          <t>Audit &amp; compliance results</t>
        </is>
      </c>
      <c r="C12" s="128" t="inlineStr">
        <is>
          <t>No. of non-conformities closed on time</t>
        </is>
      </c>
      <c r="D12" s="137" t="inlineStr">
        <is>
          <t>↑</t>
        </is>
      </c>
      <c r="E12" s="89" t="inlineStr">
        <is>
          <t>Audit reports</t>
        </is>
      </c>
    </row>
    <row r="13" ht="30" customHeight="1" s="71">
      <c r="A13" s="135" t="n"/>
      <c r="B13" s="136" t="inlineStr">
        <is>
          <t>Cross-team collaboration satisfaction</t>
        </is>
      </c>
      <c r="C13" s="128" t="inlineStr">
        <is>
          <t>Internal collaboration satisfaction score</t>
        </is>
      </c>
      <c r="D13" s="137" t="inlineStr">
        <is>
          <t>↑</t>
        </is>
      </c>
      <c r="E13" s="89" t="inlineStr">
        <is>
          <t>Internal survey</t>
        </is>
      </c>
    </row>
    <row r="14" ht="30" customHeight="1" s="71">
      <c r="A14" s="130" t="inlineStr">
        <is>
          <t>Product Development &amp; Engineering</t>
        </is>
      </c>
      <c r="B14" s="131" t="inlineStr">
        <is>
          <t>R&amp;D milestone completion rate</t>
        </is>
      </c>
      <c r="C14" s="132" t="inlineStr">
        <is>
          <t>% of milestones (gate/DV/PV) passed on time</t>
        </is>
      </c>
      <c r="D14" s="133" t="inlineStr">
        <is>
          <t>↑</t>
        </is>
      </c>
      <c r="E14" s="83" t="inlineStr">
        <is>
          <t>Project management</t>
        </is>
      </c>
    </row>
    <row r="15" ht="30" customHeight="1" s="71">
      <c r="A15" s="134" t="n"/>
      <c r="B15" s="131" t="inlineStr">
        <is>
          <t>Design change &amp; quality rate</t>
        </is>
      </c>
      <c r="C15" s="132" t="inlineStr">
        <is>
          <t>No. of ECR/ECN and design quality index</t>
        </is>
      </c>
      <c r="D15" s="133" t="inlineStr">
        <is>
          <t>↓</t>
        </is>
      </c>
      <c r="E15" s="132" t="inlineStr">
        <is>
          <t>PLM / quality system</t>
        </is>
      </c>
    </row>
    <row r="16" ht="30" customHeight="1" s="71">
      <c r="A16" s="134" t="n"/>
      <c r="B16" s="131" t="inlineStr">
        <is>
          <t>BOM cost target achievement</t>
        </is>
      </c>
      <c r="C16" s="132" t="inlineStr">
        <is>
          <t>% achievement of BOM cost target</t>
        </is>
      </c>
      <c r="D16" s="133" t="inlineStr">
        <is>
          <t>↑</t>
        </is>
      </c>
      <c r="E16" s="83" t="inlineStr">
        <is>
          <t>Cost system</t>
        </is>
      </c>
    </row>
    <row r="17" ht="30" customHeight="1" s="71">
      <c r="A17" s="134" t="n"/>
      <c r="B17" s="131" t="inlineStr">
        <is>
          <t>On-time delivery rate</t>
        </is>
      </c>
      <c r="C17" s="132" t="inlineStr">
        <is>
          <t>% of engineering deliverables on time</t>
        </is>
      </c>
      <c r="D17" s="133" t="inlineStr">
        <is>
          <t>↑</t>
        </is>
      </c>
      <c r="E17" s="83" t="inlineStr">
        <is>
          <t>Project management</t>
        </is>
      </c>
    </row>
    <row r="18" ht="30" customHeight="1" s="71">
      <c r="A18" s="135" t="n"/>
      <c r="B18" s="131" t="inlineStr">
        <is>
          <t>Technical documentation &amp; patents</t>
        </is>
      </c>
      <c r="C18" s="132" t="inlineStr">
        <is>
          <t>Documentation completeness and patent output</t>
        </is>
      </c>
      <c r="D18" s="133" t="inlineStr">
        <is>
          <t>↑</t>
        </is>
      </c>
      <c r="E18" s="83" t="inlineStr">
        <is>
          <t>Knowledge base / IP</t>
        </is>
      </c>
    </row>
    <row r="19" ht="30" customHeight="1" s="71">
      <c r="A19" s="130" t="inlineStr">
        <is>
          <t>Vehicle Validation &amp; Engineering</t>
        </is>
      </c>
      <c r="B19" s="136" t="inlineStr">
        <is>
          <t>Test plan completion rate</t>
        </is>
      </c>
      <c r="C19" s="128" t="inlineStr">
        <is>
          <t>% of planned test cases completed</t>
        </is>
      </c>
      <c r="D19" s="137" t="inlineStr">
        <is>
          <t>↑</t>
        </is>
      </c>
      <c r="E19" s="89" t="inlineStr">
        <is>
          <t>Test management</t>
        </is>
      </c>
    </row>
    <row r="20" ht="30" customHeight="1" s="71">
      <c r="A20" s="134" t="n"/>
      <c r="B20" s="136" t="inlineStr">
        <is>
          <t>Defect detection &amp; closure rate</t>
        </is>
      </c>
      <c r="C20" s="128" t="inlineStr">
        <is>
          <t>% of defects detected and closed on time</t>
        </is>
      </c>
      <c r="D20" s="137" t="inlineStr">
        <is>
          <t>↑</t>
        </is>
      </c>
      <c r="E20" s="89" t="inlineStr">
        <is>
          <t>Defect system</t>
        </is>
      </c>
    </row>
    <row r="21" ht="30" customHeight="1" s="71">
      <c r="A21" s="134" t="n"/>
      <c r="B21" s="136" t="inlineStr">
        <is>
          <t>Report timeliness &amp; quality</t>
        </is>
      </c>
      <c r="C21" s="128" t="inlineStr">
        <is>
          <t>On-time rate and quality score of reports</t>
        </is>
      </c>
      <c r="D21" s="137" t="inlineStr">
        <is>
          <t>↑</t>
        </is>
      </c>
      <c r="E21" s="89" t="inlineStr">
        <is>
          <t>Document system</t>
        </is>
      </c>
    </row>
    <row r="22" ht="30" customHeight="1" s="71">
      <c r="A22" s="134" t="n"/>
      <c r="B22" s="136" t="inlineStr">
        <is>
          <t>Homologation / regulatory compliance</t>
        </is>
      </c>
      <c r="C22" s="128" t="inlineStr">
        <is>
          <t>Homologations and certifications achieved</t>
        </is>
      </c>
      <c r="D22" s="137" t="inlineStr">
        <is>
          <t>↑</t>
        </is>
      </c>
      <c r="E22" s="89" t="inlineStr">
        <is>
          <t>Certification records</t>
        </is>
      </c>
    </row>
    <row r="23" ht="30" customHeight="1" s="71">
      <c r="A23" s="135" t="n"/>
      <c r="B23" s="136" t="inlineStr">
        <is>
          <t>Test safety compliance</t>
        </is>
      </c>
      <c r="C23" s="128" t="inlineStr">
        <is>
          <t>No. of test safety incidents (target: zero)</t>
        </is>
      </c>
      <c r="D23" s="137" t="inlineStr">
        <is>
          <t>↓</t>
        </is>
      </c>
      <c r="E23" s="128" t="inlineStr">
        <is>
          <t>EHS records</t>
        </is>
      </c>
    </row>
    <row r="24" ht="30" customHeight="1" s="71">
      <c r="A24" s="130" t="inlineStr">
        <is>
          <t>Smart Energy Technology</t>
        </is>
      </c>
      <c r="B24" s="131" t="inlineStr">
        <is>
          <t>Efficiency / performance achievement</t>
        </is>
      </c>
      <c r="C24" s="132" t="inlineStr">
        <is>
          <t>% achievement of efficiency/performance targets</t>
        </is>
      </c>
      <c r="D24" s="133" t="inlineStr">
        <is>
          <t>↑</t>
        </is>
      </c>
      <c r="E24" s="83" t="inlineStr">
        <is>
          <t>Test data</t>
        </is>
      </c>
    </row>
    <row r="25" ht="30" customHeight="1" s="71">
      <c r="A25" s="134" t="n"/>
      <c r="B25" s="131" t="inlineStr">
        <is>
          <t>Energy system validation rate</t>
        </is>
      </c>
      <c r="C25" s="132" t="inlineStr">
        <is>
          <t>% of battery/energy system validation completed</t>
        </is>
      </c>
      <c r="D25" s="133" t="inlineStr">
        <is>
          <t>↑</t>
        </is>
      </c>
      <c r="E25" s="83" t="inlineStr">
        <is>
          <t>Test management</t>
        </is>
      </c>
    </row>
    <row r="26" ht="30" customHeight="1" s="71">
      <c r="A26" s="134" t="n"/>
      <c r="B26" s="131" t="inlineStr">
        <is>
          <t>Technical milestone completion</t>
        </is>
      </c>
      <c r="C26" s="132" t="inlineStr">
        <is>
          <t>% of technical milestones on time</t>
        </is>
      </c>
      <c r="D26" s="133" t="inlineStr">
        <is>
          <t>↑</t>
        </is>
      </c>
      <c r="E26" s="83" t="inlineStr">
        <is>
          <t>Project management</t>
        </is>
      </c>
    </row>
    <row r="27" ht="30" customHeight="1" s="71">
      <c r="A27" s="134" t="n"/>
      <c r="B27" s="131" t="inlineStr">
        <is>
          <t>Electrical safety &amp; compliance</t>
        </is>
      </c>
      <c r="C27" s="132" t="inlineStr">
        <is>
          <t>Electrical safety incidents and regulatory compliance</t>
        </is>
      </c>
      <c r="D27" s="133" t="inlineStr">
        <is>
          <t>↓</t>
        </is>
      </c>
      <c r="E27" s="132" t="inlineStr">
        <is>
          <t>EHS / compliance</t>
        </is>
      </c>
    </row>
    <row r="28" ht="30" customHeight="1" s="71">
      <c r="A28" s="135" t="n"/>
      <c r="B28" s="131" t="inlineStr">
        <is>
          <t>Innovation &amp; patents</t>
        </is>
      </c>
      <c r="C28" s="132" t="inlineStr">
        <is>
          <t>Innovation proposals and patent output</t>
        </is>
      </c>
      <c r="D28" s="133" t="inlineStr">
        <is>
          <t>↑</t>
        </is>
      </c>
      <c r="E28" s="132" t="inlineStr">
        <is>
          <t>IP / knowledge base</t>
        </is>
      </c>
    </row>
    <row r="29" ht="30" customHeight="1" s="71">
      <c r="A29" s="130" t="inlineStr">
        <is>
          <t>Product Digitalization</t>
        </is>
      </c>
      <c r="B29" s="136" t="inlineStr">
        <is>
          <t>Software delivery rate</t>
        </is>
      </c>
      <c r="C29" s="128" t="inlineStr">
        <is>
          <t>% of sprint/release deliveries on plan</t>
        </is>
      </c>
      <c r="D29" s="137" t="inlineStr">
        <is>
          <t>↑</t>
        </is>
      </c>
      <c r="E29" s="128" t="inlineStr">
        <is>
          <t>Jira / CI</t>
        </is>
      </c>
    </row>
    <row r="30" ht="30" customHeight="1" s="71">
      <c r="A30" s="134" t="n"/>
      <c r="B30" s="136" t="inlineStr">
        <is>
          <t>Defect density &amp; quality</t>
        </is>
      </c>
      <c r="C30" s="128" t="inlineStr">
        <is>
          <t>Defect density per KLOC/function</t>
        </is>
      </c>
      <c r="D30" s="137" t="inlineStr">
        <is>
          <t>↓</t>
        </is>
      </c>
      <c r="E30" s="89" t="inlineStr">
        <is>
          <t>Quality system</t>
        </is>
      </c>
    </row>
    <row r="31" ht="30" customHeight="1" s="71">
      <c r="A31" s="134" t="n"/>
      <c r="B31" s="136" t="inlineStr">
        <is>
          <t>System availability</t>
        </is>
      </c>
      <c r="C31" s="128" t="inlineStr">
        <is>
          <t>System uptime / availability</t>
        </is>
      </c>
      <c r="D31" s="137" t="inlineStr">
        <is>
          <t>↑</t>
        </is>
      </c>
      <c r="E31" s="89" t="inlineStr">
        <is>
          <t>Monitoring system</t>
        </is>
      </c>
    </row>
    <row r="32" ht="30" customHeight="1" s="71">
      <c r="A32" s="134" t="n"/>
      <c r="B32" s="136" t="inlineStr">
        <is>
          <t>Digital feature / OTA deployment</t>
        </is>
      </c>
      <c r="C32" s="128" t="inlineStr">
        <is>
          <t>% of digital features/OTA released on time</t>
        </is>
      </c>
      <c r="D32" s="137" t="inlineStr">
        <is>
          <t>↑</t>
        </is>
      </c>
      <c r="E32" s="89" t="inlineStr">
        <is>
          <t>Release records</t>
        </is>
      </c>
    </row>
    <row r="33" ht="30" customHeight="1" s="71">
      <c r="A33" s="135" t="n"/>
      <c r="B33" s="136" t="inlineStr">
        <is>
          <t>Cybersecurity compliance</t>
        </is>
      </c>
      <c r="C33" s="128" t="inlineStr">
        <is>
          <t>Vulnerabilities closed and compliance achieved</t>
        </is>
      </c>
      <c r="D33" s="137" t="inlineStr">
        <is>
          <t>↑</t>
        </is>
      </c>
      <c r="E33" s="89" t="inlineStr">
        <is>
          <t>Security system</t>
        </is>
      </c>
    </row>
    <row r="34" ht="30" customHeight="1" s="71">
      <c r="A34" s="130" t="inlineStr">
        <is>
          <t>Autonomous Driving</t>
        </is>
      </c>
      <c r="B34" s="131" t="inlineStr">
        <is>
          <t>Feature / algorithm milestones</t>
        </is>
      </c>
      <c r="C34" s="132" t="inlineStr">
        <is>
          <t>% of feature/algorithm milestones on time</t>
        </is>
      </c>
      <c r="D34" s="133" t="inlineStr">
        <is>
          <t>↑</t>
        </is>
      </c>
      <c r="E34" s="83" t="inlineStr">
        <is>
          <t>Project management</t>
        </is>
      </c>
    </row>
    <row r="35" ht="30" customHeight="1" s="71">
      <c r="A35" s="134" t="n"/>
      <c r="B35" s="131" t="inlineStr">
        <is>
          <t>Data loop closure</t>
        </is>
      </c>
      <c r="C35" s="132" t="inlineStr">
        <is>
          <t>Km collected / scenario coverage achieved</t>
        </is>
      </c>
      <c r="D35" s="133" t="inlineStr">
        <is>
          <t>↑</t>
        </is>
      </c>
      <c r="E35" s="83" t="inlineStr">
        <is>
          <t>Data platform</t>
        </is>
      </c>
    </row>
    <row r="36" ht="30" customHeight="1" s="71">
      <c r="A36" s="134" t="n"/>
      <c r="B36" s="131" t="inlineStr">
        <is>
          <t>Safety validation metrics</t>
        </is>
      </c>
      <c r="C36" s="132" t="inlineStr">
        <is>
          <t>Disengagement rate / MPI and safety metrics</t>
        </is>
      </c>
      <c r="D36" s="133" t="inlineStr">
        <is>
          <t>↑</t>
        </is>
      </c>
      <c r="E36" s="83" t="inlineStr">
        <is>
          <t>Validation platform</t>
        </is>
      </c>
    </row>
    <row r="37" ht="30" customHeight="1" s="71">
      <c r="A37" s="134" t="n"/>
      <c r="B37" s="131" t="inlineStr">
        <is>
          <t>Model performance achievement</t>
        </is>
      </c>
      <c r="C37" s="132" t="inlineStr">
        <is>
          <t>Achievement of model performance metrics</t>
        </is>
      </c>
      <c r="D37" s="133" t="inlineStr">
        <is>
          <t>↑</t>
        </is>
      </c>
      <c r="E37" s="83" t="inlineStr">
        <is>
          <t>Evaluation system</t>
        </is>
      </c>
    </row>
    <row r="38" ht="30" customHeight="1" s="71">
      <c r="A38" s="135" t="n"/>
      <c r="B38" s="131" t="inlineStr">
        <is>
          <t>Functional safety &amp; regulatory compliance</t>
        </is>
      </c>
      <c r="C38" s="132" t="inlineStr">
        <is>
          <t>ISO 26262 / SOTIF compliance</t>
        </is>
      </c>
      <c r="D38" s="133" t="inlineStr">
        <is>
          <t>↑</t>
        </is>
      </c>
      <c r="E38" s="83" t="inlineStr">
        <is>
          <t>Compliance records</t>
        </is>
      </c>
    </row>
  </sheetData>
  <mergeCells count="9">
    <mergeCell ref="A34:A38"/>
    <mergeCell ref="A2:E2"/>
    <mergeCell ref="A29:A33"/>
    <mergeCell ref="A9:A13"/>
    <mergeCell ref="A24:A28"/>
    <mergeCell ref="A4:A8"/>
    <mergeCell ref="A1:E1"/>
    <mergeCell ref="A19:A23"/>
    <mergeCell ref="A1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2026-07-16T07:46:56Z</dcterms:created>
  <dcterms:modified xmlns:dcterms="http://purl.org/dc/terms/" xmlns:xsi="http://www.w3.org/2001/XMLSchema-instance" xsi:type="dcterms:W3CDTF">2026-07-16T07:46:56Z</dcterms:modified>
</cp:coreProperties>
</file>