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644e1b02ca4f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aluation" sheetId="1" r:id="R86424e91ae074334"/>
    <x:sheet xmlns:r="http://schemas.openxmlformats.org/officeDocument/2006/relationships" name="Instructions" sheetId="2" r:id="R145244e6d3654aa9"/>
    <x:sheet xmlns:r="http://schemas.openxmlformats.org/officeDocument/2006/relationships" name="Criteria" sheetId="3" r:id="R8794624fa9e44cbc"/>
    <x:sheet xmlns:r="http://schemas.openxmlformats.org/officeDocument/2006/relationships" name="KPI Library" sheetId="4" r:id="R1692af2d5fae457c"/>
  </x:sheets>
</x:workbook>
</file>

<file path=xl/sharedStrings.xml><?xml version="1.0" encoding="utf-8"?>
<x:sst xmlns:x="http://schemas.openxmlformats.org/spreadsheetml/2006/main">
  <x:si>
    <x:t xml:space="preserve">Performance Evaluation Form</x:t>
  </x:si>
  <x:si>
    <x:t xml:space="preserve">Each item scored 1–100, weighted to a 100-point total and converted to 1–5 (A–E) · Self-assessment first, then manager · Development-oriented, not automatic dismissal</x:t>
  </x:si>
  <x:si>
    <x:t xml:space="preserve">I. Employee Information</x:t>
  </x:si>
  <x:si>
    <x:t xml:space="preserve">Name</x:t>
  </x:si>
  <x:si>
    <x:t xml:space="preserve">Position</x:t>
  </x:si>
  <x:si>
    <x:t xml:space="preserve">ID</x:t>
  </x:si>
  <x:si>
    <x:t xml:space="preserve">Line Manager</x:t>
  </x:si>
  <x:si>
    <x:t xml:space="preserve">Department</x:t>
  </x:si>
  <x:si>
    <x:t xml:space="preserve">Level</x:t>
  </x:si>
  <x:si>
    <x:t xml:space="preserve">Review Period</x:t>
  </x:si>
  <x:si>
    <x:t xml:space="preserve">Date</x:t>
  </x:si>
  <x:si>
    <x:t xml:space="preserve">II. Performance Scoring (weights total = 100)</x:t>
  </x:si>
  <x:si>
    <x:t xml:space="preserve">No.</x:t>
  </x:si>
  <x:si>
    <x:t xml:space="preserve">Dimension</x:t>
  </x:si>
  <x:si>
    <x:t xml:space="preserve">Objective criteria / evidence</x:t>
  </x:si>
  <x:si>
    <x:t xml:space="preserve">Weight %</x:t>
  </x:si>
  <x:si>
    <x:t xml:space="preserve">Self</x:t>
  </x:si>
  <x:si>
    <x:t xml:space="preserve">Manager</x:t>
  </x:si>
  <x:si>
    <x:t xml:space="preserve">Weighted</x:t>
  </x:si>
  <x:si>
    <x:t xml:space="preserve">Evidence / Comments</x:t>
  </x:si>
  <x:si>
    <x:t xml:space="preserve">Total weight (must equal 100)</x:t>
  </x:si>
  <x:si>
    <x:t xml:space="preserve">↑ must equal 100</x:t>
  </x:si>
  <x:si>
    <x:t xml:space="preserve">Total score, manager (out of 100)</x:t>
  </x:si>
  <x:si>
    <x:t xml:space="preserve">Self-assessment total (reference)</x:t>
  </x:si>
  <x:si>
    <x:t xml:space="preserve">Rating</x:t>
  </x:si>
  <x:si>
    <x:t xml:space="preserve">III. Goals, Achievements &amp; Development</x:t>
  </x:si>
  <x:si>
    <x:t xml:space="preserve">Key achievements</x:t>
  </x:si>
  <x:si>
    <x:t xml:space="preserve">Describe key achievements with facts and data</x:t>
  </x:si>
  <x:si>
    <x:t xml:space="preserve">Improvement &amp; development</x:t>
  </x:si>
  <x:si>
    <x:t xml:space="preserve">Areas for improvement, development actions, training needs</x:t>
  </x:si>
  <x:si>
    <x:t xml:space="preserve">Next-period goals</x:t>
  </x:si>
  <x:si>
    <x:t xml:space="preserve">Key goals and priorities for the next period</x:t>
  </x:si>
  <x:si>
    <x:t xml:space="preserve">IV. Use of Results</x:t>
  </x:si>
  <x:si>
    <x:t xml:space="preserve">C or above: development, promotion input and variable pay (per the applicable collective agreement).  D/E: a Performance Improvement Plan (PIP, 60–90 days) is launched, with support and documentation; results do not imply automatic dismissal — any termination follows a separate procedure under Spanish law.</x:t>
  </x:si>
  <x:si>
    <x:t xml:space="preserve">PIP triggered?</x:t>
  </x:si>
  <x:si>
    <x:t xml:space="preserve">(triggered automatically if total score &lt; 60)</x:t>
  </x:si>
  <x:si>
    <x:t xml:space="preserve">V. Acknowledgement &amp; Signatures</x:t>
  </x:si>
  <x:si>
    <x:t xml:space="preserve">The employee has the right to read the evaluation, submit written comments and appeal (see the policy document). Signing acknowledges receipt, not necessarily agreement with the content.</x:t>
  </x:si>
  <x:si>
    <x:t xml:space="preserve">Employee signature</x:t>
  </x:si>
  <x:si>
    <x:t xml:space="preserve">HR</x:t>
  </x:si>
  <x:si>
    <x:t xml:space="preserve">Date:</x:t>
  </x:si>
  <x:si>
    <x:t xml:space="preserve">Data protection: This form contains personal data processed for evaluation purposes under the GDPR/LOPDGDD, retained for a limited period; employees may exercise their rights of access, rectification, etc.</x:t>
  </x:si>
  <x:si>
    <x:t xml:space="preserve">Local Employee Performance Evaluation · Instructions &amp; Compliance Notes</x:t>
  </x:si>
  <x:si>
    <x:t xml:space="preserve">Applicable to R&amp;D departments in Spain · English version · Compliant with Spanish labour law and the GDPR</x:t>
  </x:si>
  <x:si>
    <x:t xml:space="preserve">1. Purpose</x:t>
  </x:si>
  <x:si>
    <x:t xml:space="preserve">Establish a transparent, objective and measurable evaluation system, aligned with company goals, supporting employee development and fair incentives. The system serves development and improvement; it is not grounds for automatic dismissal.</x:t>
  </x:si>
  <x:si>
    <x:t xml:space="preserve">2. Legal &amp; Compliance Principles</x:t>
  </x:si>
  <x:si>
    <x:t xml:space="preserve">• Transparency, objectivity, fairness and non-discrimination: criteria are communicated in advance and based on measurable facts and job-related behaviour.
• Data protection (GDPR/LOPDGDD): performance data are personal data — used only for their purpose, retained for a limited period, with rights of access, rectification, etc.
• Right to digital disconnection: availability outside working hours is not scored, and exercising this right is never penalised.
• Working-time records and work-life balance: performance is measured by output and results, not overtime or presence.
• Applicable collective agreement (convenio): promotion and variable pay must comply with the applicable agreement (e.g. metal / engineering sector).
• Employee representatives (works council / comité de empresa): the introduction of and substantial changes to this system are notified to employee representatives as required by law.</x:t>
  </x:si>
  <x:si>
    <x:t xml:space="preserve">3. Scoring Method</x:t>
  </x:si>
  <x:si>
    <x:t xml:space="preserve">4. Reference Distribution (non-binding)</x:t>
  </x:si>
  <x:si>
    <x:t xml:space="preserve">To support fair calibration, an indicative distribution may be used (e.g. A≈10%, B≈20%, C≈55%, D≈10%, E≈5%). It is a reference for calibration discussions only — NOT a mandatory quota, and it must never be used to dismiss the lowest-ranked ("rank-and-yank"), which is unlawful in Spain.</x:t>
  </x:si>
  <x:si>
    <x:t xml:space="preserve">5. Use of Results</x:t>
  </x:si>
  <x:si>
    <x:t xml:space="preserve">• C or above: normal incentives, development and promotion input; variable pay calculated per the applicable agreement.
• D / E: a Performance Improvement Plan (PIP) is launched, with 60–90 day goals, support and documented follow-up. Results do not imply automatic dismissal; any termination follows a separate procedure under Spanish law (Art. 52 objective / Art. 54 disciplinary), with its own evidentiary and formal requirements.</x:t>
  </x:si>
  <x:si>
    <x:t xml:space="preserve">6. Colours &amp; Data Entry</x:t>
  </x:si>
  <x:si>
    <x:t xml:space="preserve">Yellow cells are for input (weights, self-assessment, manager scores, evidence and text). All other cells are calculated by formula — do not edit them.</x:t>
  </x:si>
  <x:si>
    <x:t xml:space="preserve">Scoring Criteria (1–100 anchors)</x:t>
  </x:si>
  <x:si>
    <x:t xml:space="preserve">Score based on facts, data and job-related behaviour; avoid first impressions or factors unrelated to the job (e.g. age, origin, accent).</x:t>
  </x:si>
  <x:si>
    <x:t xml:space="preserve">Score</x:t>
  </x:si>
  <x:si>
    <x:t xml:space="preserve">Results</x:t>
  </x:si>
  <x:si>
    <x:t xml:space="preserve">Quality</x:t>
  </x:si>
  <x:si>
    <x:t xml:space="preserve">Autonomy</x:t>
  </x:si>
  <x:si>
    <x:t xml:space="preserve">Impact</x:t>
  </x:si>
  <x:si>
    <x:t xml:space="preserve">90–100</x:t>
  </x:si>
  <x:si>
    <x:t xml:space="preserve">Excellent</x:t>
  </x:si>
  <x:si>
    <x:t xml:space="preserve">Consistently far above targets</x:t>
  </x:si>
  <x:si>
    <x:t xml:space="preserve">Benchmark quality, near-zero defects</x:t>
  </x:si>
  <x:si>
    <x:t xml:space="preserve">Fully self-driven, leads others</x:t>
  </x:si>
  <x:si>
    <x:t xml:space="preserve">Cross-department / company-wide impact</x:t>
  </x:si>
  <x:si>
    <x:t xml:space="preserve">80–89</x:t>
  </x:si>
  <x:si>
    <x:t xml:space="preserve">Good</x:t>
  </x:si>
  <x:si>
    <x:t xml:space="preserve">Meets and partly exceeds</x:t>
  </x:si>
  <x:si>
    <x:t xml:space="preserve">High quality, little rework</x:t>
  </x:si>
  <x:si>
    <x:t xml:space="preserve">Works independently</x:t>
  </x:si>
  <x:si>
    <x:t xml:space="preserve">Team-level impact</x:t>
  </x:si>
  <x:si>
    <x:t xml:space="preserve">60–79</x:t>
  </x:si>
  <x:si>
    <x:t xml:space="preserve">Competent</x:t>
  </x:si>
  <x:si>
    <x:t xml:space="preserve">Broadly meets targets</x:t>
  </x:si>
  <x:si>
    <x:t xml:space="preserve">Acceptable quality</x:t>
  </x:si>
  <x:si>
    <x:t xml:space="preserve">Needs occasional guidance</x:t>
  </x:si>
  <x:si>
    <x:t xml:space="preserve">Own-scope impact</x:t>
  </x:si>
  <x:si>
    <x:t xml:space="preserve">40–59</x:t>
  </x:si>
  <x:si>
    <x:t xml:space="preserve">Needs improvement</x:t>
  </x:si>
  <x:si>
    <x:t xml:space="preserve">Partly meets, with gaps</x:t>
  </x:si>
  <x:si>
    <x:t xml:space="preserve">Inconsistent quality, frequent rework</x:t>
  </x:si>
  <x:si>
    <x:t xml:space="preserve">Needs close supervision</x:t>
  </x:si>
  <x:si>
    <x:t xml:space="preserve">Others must step in</x:t>
  </x:si>
  <x:si>
    <x:t xml:space="preserve">&lt;40</x:t>
  </x:si>
  <x:si>
    <x:t xml:space="preserve">Unsatisfactory</x:t>
  </x:si>
  <x:si>
    <x:t xml:space="preserve">Clearly misses targets</x:t>
  </x:si>
  <x:si>
    <x:t xml:space="preserve">Unacceptable defect level</x:t>
  </x:si>
  <x:si>
    <x:t xml:space="preserve">Cannot work independently</x:t>
  </x:si>
  <x:si>
    <x:t xml:space="preserve">Causes rework / risk</x:t>
  </x:si>
  <x:si>
    <x:t xml:space="preserve">Total score → rating</x:t>
  </x:si>
  <x:si>
    <x:t xml:space="preserve">Range</x:t>
  </x:si>
  <x:si>
    <x:t xml:space="preserve">Meaning</x:t>
  </x:si>
  <x:si>
    <x:t xml:space="preserve">Application</x:t>
  </x:si>
  <x:si>
    <x:t xml:space="preserve">A</x:t>
  </x:si>
  <x:si>
    <x:t xml:space="preserve">90–100 (4.5–5)</x:t>
  </x:si>
  <x:si>
    <x:t xml:space="preserve">Top incentives, promotion candidate</x:t>
  </x:si>
  <x:si>
    <x:t xml:space="preserve">B</x:t>
  </x:si>
  <x:si>
    <x:t xml:space="preserve">80–89 (4–4.5)</x:t>
  </x:si>
  <x:si>
    <x:t xml:space="preserve">Strong incentives, development opportunities</x:t>
  </x:si>
  <x:si>
    <x:t xml:space="preserve">C</x:t>
  </x:si>
  <x:si>
    <x:t xml:space="preserve">60–79 (3–4)</x:t>
  </x:si>
  <x:si>
    <x:t xml:space="preserve">Normal incentives and development</x:t>
  </x:si>
  <x:si>
    <x:t xml:space="preserve">D</x:t>
  </x:si>
  <x:si>
    <x:t xml:space="preserve">40–59 (2–3)</x:t>
  </x:si>
  <x:si>
    <x:t xml:space="preserve">Performance Improvement Plan (PIP)</x:t>
  </x:si>
  <x:si>
    <x:t xml:space="preserve">E</x:t>
  </x:si>
  <x:si>
    <x:t xml:space="preserve">&lt;40 (1–2)</x:t>
  </x:si>
  <x:si>
    <x:t xml:space="preserve">PIP + close follow-up</x:t>
  </x:si>
  <x:si>
    <x:t xml:space="preserve">Department KPI Library (for the "Performance &amp; goal achievement" dimension)</x:t>
  </x:si>
  <x:si>
    <x:t xml:space="preserve">Use these quantifiable KPIs as a reference to set and assess goals by role; goals should be SMART, with clear achievement criteria and data sources.</x:t>
  </x:si>
  <x:si>
    <x:t xml:space="preserve">KPI</x:t>
  </x:si>
  <x:si>
    <x:t xml:space="preserve">Definition / formula</x:t>
  </x:si>
  <x:si>
    <x:t xml:space="preserve">Dir.</x:t>
  </x:si>
  <x:si>
    <x:t xml:space="preserve">Data source</x:t>
  </x:si>
  <x:si>
    <x:t xml:space="preserve">Product Co-Creation</x:t>
  </x:si>
  <x:si>
    <x:t xml:space="preserve">User requirement closure rate</x:t>
  </x:si>
  <x:si>
    <x:t xml:space="preserve">% of requirements converted into validated specifications</x:t>
  </x:si>
  <x:si>
    <x:t xml:space="preserve">↑</x:t>
  </x:si>
  <x:si>
    <x:t xml:space="preserve">PLM / requirements system</x:t>
  </x:si>
  <x:si>
    <x:t xml:space="preserve">Co-creation activity delivery</x:t>
  </x:si>
  <x:si>
    <x:t xml:space="preserve">Number and quality of co-creation workshops vs. plan</x:t>
  </x:si>
  <x:si>
    <x:t xml:space="preserve">Project plan</x:t>
  </x:si>
  <x:si>
    <x:t xml:space="preserve">Product definition milestone rate</x:t>
  </x:si>
  <x:si>
    <x:t xml:space="preserve">% of definition milestones on time</x:t>
  </x:si>
  <x:si>
    <x:t xml:space="preserve">Project management</x:t>
  </x:si>
  <x:si>
    <x:t xml:space="preserve">Product satisfaction (NPS)</x:t>
  </x:si>
  <x:si>
    <x:t xml:space="preserve">Target-user satisfaction score (NPS)</x:t>
  </x:si>
  <x:si>
    <x:t xml:space="preserve">User research</x:t>
  </x:si>
  <x:si>
    <x:t xml:space="preserve">Requirement handover lead time</x:t>
  </x:si>
  <x:si>
    <x:t xml:space="preserve">Average handover time to engineering</x:t>
  </x:si>
  <x:si>
    <x:t xml:space="preserve">↓</x:t>
  </x:si>
  <x:si>
    <x:t xml:space="preserve">PLM</x:t>
  </x:si>
  <x:si>
    <x:t xml:space="preserve">Operations Management</x:t>
  </x:si>
  <x:si>
    <x:t xml:space="preserve">Process / SLA compliance rate</x:t>
  </x:si>
  <x:si>
    <x:t xml:space="preserve">% of processes completed within SLA</x:t>
  </x:si>
  <x:si>
    <x:t xml:space="preserve">Operations system</x:t>
  </x:si>
  <x:si>
    <x:t xml:space="preserve">Budget / cost variance</x:t>
  </x:si>
  <x:si>
    <x:t xml:space="preserve">% variance vs. budget</x:t>
  </x:si>
  <x:si>
    <x:t xml:space="preserve">Finance system</x:t>
  </x:si>
  <x:si>
    <x:t xml:space="preserve">Operational milestone completion</x:t>
  </x:si>
  <x:si>
    <x:t xml:space="preserve">% of operational milestones on time</x:t>
  </x:si>
  <x:si>
    <x:t xml:space="preserve">Audit &amp; compliance results</x:t>
  </x:si>
  <x:si>
    <x:t xml:space="preserve">No. of non-conformities closed on time</x:t>
  </x:si>
  <x:si>
    <x:t xml:space="preserve">Audit reports</x:t>
  </x:si>
  <x:si>
    <x:t xml:space="preserve">Cross-team collaboration satisfaction</x:t>
  </x:si>
  <x:si>
    <x:t xml:space="preserve">Internal collaboration satisfaction score</x:t>
  </x:si>
  <x:si>
    <x:t xml:space="preserve">Internal survey</x:t>
  </x:si>
  <x:si>
    <x:t xml:space="preserve">Product Development &amp; Engineering</x:t>
  </x:si>
  <x:si>
    <x:t xml:space="preserve">R&amp;D milestone completion rate</x:t>
  </x:si>
  <x:si>
    <x:t xml:space="preserve">% of milestones (gate/DV/PV) passed on time</x:t>
  </x:si>
  <x:si>
    <x:t xml:space="preserve">Design change &amp; quality rate</x:t>
  </x:si>
  <x:si>
    <x:t xml:space="preserve">No. of ECR/ECN and design quality index</x:t>
  </x:si>
  <x:si>
    <x:t xml:space="preserve">PLM / quality system</x:t>
  </x:si>
  <x:si>
    <x:t xml:space="preserve">BOM cost target achievement</x:t>
  </x:si>
  <x:si>
    <x:t xml:space="preserve">% achievement of BOM cost target</x:t>
  </x:si>
  <x:si>
    <x:t xml:space="preserve">Cost system</x:t>
  </x:si>
  <x:si>
    <x:t xml:space="preserve">On-time delivery rate</x:t>
  </x:si>
  <x:si>
    <x:t xml:space="preserve">% of engineering deliverables on time</x:t>
  </x:si>
  <x:si>
    <x:t xml:space="preserve">Technical documentation &amp; patents</x:t>
  </x:si>
  <x:si>
    <x:t xml:space="preserve">Documentation completeness and patent output</x:t>
  </x:si>
  <x:si>
    <x:t xml:space="preserve">Knowledge base / IP</x:t>
  </x:si>
  <x:si>
    <x:t xml:space="preserve">Vehicle Validation &amp; Engineering</x:t>
  </x:si>
  <x:si>
    <x:t xml:space="preserve">Test plan completion rate</x:t>
  </x:si>
  <x:si>
    <x:t xml:space="preserve">% of planned test cases completed</x:t>
  </x:si>
  <x:si>
    <x:t xml:space="preserve">Test management</x:t>
  </x:si>
  <x:si>
    <x:t xml:space="preserve">Defect detection &amp; closure rate</x:t>
  </x:si>
  <x:si>
    <x:t xml:space="preserve">% of defects detected and closed on time</x:t>
  </x:si>
  <x:si>
    <x:t xml:space="preserve">Defect system</x:t>
  </x:si>
  <x:si>
    <x:t xml:space="preserve">Report timeliness &amp; quality</x:t>
  </x:si>
  <x:si>
    <x:t xml:space="preserve">On-time rate and quality score of reports</x:t>
  </x:si>
  <x:si>
    <x:t xml:space="preserve">Document system</x:t>
  </x:si>
  <x:si>
    <x:t xml:space="preserve">Homologation / regulatory compliance</x:t>
  </x:si>
  <x:si>
    <x:t xml:space="preserve">Homologations and certifications achieved</x:t>
  </x:si>
  <x:si>
    <x:t xml:space="preserve">Certification records</x:t>
  </x:si>
  <x:si>
    <x:t xml:space="preserve">Test safety compliance</x:t>
  </x:si>
  <x:si>
    <x:t xml:space="preserve">No. of test safety incidents (target: zero)</x:t>
  </x:si>
  <x:si>
    <x:t xml:space="preserve">EHS records</x:t>
  </x:si>
  <x:si>
    <x:t xml:space="preserve">Smart Energy Technology</x:t>
  </x:si>
  <x:si>
    <x:t xml:space="preserve">Efficiency / performance achievement</x:t>
  </x:si>
  <x:si>
    <x:t xml:space="preserve">% achievement of efficiency/performance targets</x:t>
  </x:si>
  <x:si>
    <x:t xml:space="preserve">Test data</x:t>
  </x:si>
  <x:si>
    <x:t xml:space="preserve">Energy system validation rate</x:t>
  </x:si>
  <x:si>
    <x:t xml:space="preserve">% of battery/energy system validation completed</x:t>
  </x:si>
  <x:si>
    <x:t xml:space="preserve">Technical milestone completion</x:t>
  </x:si>
  <x:si>
    <x:t xml:space="preserve">% of technical milestones on time</x:t>
  </x:si>
  <x:si>
    <x:t xml:space="preserve">Electrical safety &amp; compliance</x:t>
  </x:si>
  <x:si>
    <x:t xml:space="preserve">Electrical safety incidents and regulatory compliance</x:t>
  </x:si>
  <x:si>
    <x:t xml:space="preserve">EHS / compliance</x:t>
  </x:si>
  <x:si>
    <x:t xml:space="preserve">Innovation &amp; patents</x:t>
  </x:si>
  <x:si>
    <x:t xml:space="preserve">Innovation proposals and patent output</x:t>
  </x:si>
  <x:si>
    <x:t xml:space="preserve">IP / knowledge base</x:t>
  </x:si>
  <x:si>
    <x:t xml:space="preserve">Product Digitalization</x:t>
  </x:si>
  <x:si>
    <x:t xml:space="preserve">Software delivery rate</x:t>
  </x:si>
  <x:si>
    <x:t xml:space="preserve">% of sprint/release deliveries on plan</x:t>
  </x:si>
  <x:si>
    <x:t xml:space="preserve">Jira / CI</x:t>
  </x:si>
  <x:si>
    <x:t xml:space="preserve">Defect density &amp; quality</x:t>
  </x:si>
  <x:si>
    <x:t xml:space="preserve">Defect density per KLOC/function</x:t>
  </x:si>
  <x:si>
    <x:t xml:space="preserve">Quality system</x:t>
  </x:si>
  <x:si>
    <x:t xml:space="preserve">System availability</x:t>
  </x:si>
  <x:si>
    <x:t xml:space="preserve">System uptime / availability</x:t>
  </x:si>
  <x:si>
    <x:t xml:space="preserve">Monitoring system</x:t>
  </x:si>
  <x:si>
    <x:t xml:space="preserve">Digital feature / OTA deployment</x:t>
  </x:si>
  <x:si>
    <x:t xml:space="preserve">% of digital features/OTA released on time</x:t>
  </x:si>
  <x:si>
    <x:t xml:space="preserve">Release records</x:t>
  </x:si>
  <x:si>
    <x:t xml:space="preserve">Cybersecurity compliance</x:t>
  </x:si>
  <x:si>
    <x:t xml:space="preserve">Vulnerabilities closed and compliance achieved</x:t>
  </x:si>
  <x:si>
    <x:t xml:space="preserve">Security system</x:t>
  </x:si>
  <x:si>
    <x:t xml:space="preserve">Autonomous Driving</x:t>
  </x:si>
  <x:si>
    <x:t xml:space="preserve">Feature / algorithm milestones</x:t>
  </x:si>
  <x:si>
    <x:t xml:space="preserve">% of feature/algorithm milestones on time</x:t>
  </x:si>
  <x:si>
    <x:t xml:space="preserve">Data loop closure</x:t>
  </x:si>
  <x:si>
    <x:t xml:space="preserve">Km collected / scenario coverage achieved</x:t>
  </x:si>
  <x:si>
    <x:t xml:space="preserve">Data platform</x:t>
  </x:si>
  <x:si>
    <x:t xml:space="preserve">Safety validation metrics</x:t>
  </x:si>
  <x:si>
    <x:t xml:space="preserve">Disengagement rate / MPI and safety metrics</x:t>
  </x:si>
  <x:si>
    <x:t xml:space="preserve">Validation platform</x:t>
  </x:si>
  <x:si>
    <x:t xml:space="preserve">Model performance achievement</x:t>
  </x:si>
  <x:si>
    <x:t xml:space="preserve">Achievement of model performance metrics</x:t>
  </x:si>
  <x:si>
    <x:t xml:space="preserve">Evaluation system</x:t>
  </x:si>
  <x:si>
    <x:t xml:space="preserve">Functional safety &amp; regulatory compliance</x:t>
  </x:si>
  <x:si>
    <x:t xml:space="preserve">ISO 26262 / SOTIF compliance</x:t>
  </x:si>
  <x:si>
    <x:t xml:space="preserve">Compliance records</x:t>
  </x:si>
</x:sst>
</file>

<file path=xl/styles.xml><?xml version="1.0" encoding="utf-8"?>
<x:styleSheet xmlns:x="http://schemas.openxmlformats.org/spreadsheetml/2006/main">
  <x:numFmts count="1">
    <x:numFmt numFmtId="164" formatCode="General"/>
  </x:numFmts>
  <x:fonts count="35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color rgb="FFFFFFFF"/>
      <x:name val="Noto Sans CJK SC"/>
    </x:font>
    <x:font>
      <x:i/>
      <x:sz val="8"/>
      <x:color rgb="FFFFFFFF"/>
      <x:name val="Noto Sans CJK SC"/>
    </x:font>
    <x:font>
      <x:b/>
      <x:sz val="11"/>
      <x:color rgb="FFFFFFFF"/>
      <x:name val="Noto Sans CJK SC"/>
    </x:font>
    <x:font>
      <x:b/>
      <x:sz val="9"/>
      <x:color rgb="FF1A1A1A"/>
      <x:name val="Noto Sans CJK SC"/>
    </x:font>
    <x:font>
      <x:b/>
      <x:sz val="9"/>
      <x:color rgb="FFFFFFFF"/>
      <x:name val="Arial"/>
    </x:font>
    <x:font>
      <x:b/>
      <x:sz val="9"/>
      <x:color rgb="FFFFFFFF"/>
      <x:name val="Noto Sans CJK SC"/>
    </x:font>
    <x:font>
      <x:b/>
      <x:sz val="9"/>
      <x:color rgb="FF1A1A1A"/>
      <x:name val="Arial"/>
    </x:font>
    <x:font>
      <x:sz val="8"/>
      <x:color rgb="FF1A1A1A"/>
      <x:name val="Noto Sans CJK SC"/>
    </x:font>
    <x:font>
      <x:sz val="10"/>
      <x:color rgb="FF0000FF"/>
      <x:name val="Arial"/>
    </x:font>
    <x:font>
      <x:b/>
      <x:sz val="10"/>
      <x:color rgb="FF1A1A1A"/>
      <x:name val="Arial"/>
    </x:font>
    <x:font>
      <x:sz val="8"/>
      <x:color rgb="FF1A1A1A"/>
      <x:name val="Arial"/>
    </x:font>
    <x:font>
      <x:b/>
      <x:sz val="10"/>
      <x:color rgb="FFC00000"/>
      <x:name val="Arial"/>
    </x:font>
    <x:font>
      <x:i/>
      <x:sz val="8"/>
      <x:color rgb="FFC00000"/>
      <x:name val="Noto Sans CJK SC"/>
    </x:font>
    <x:font>
      <x:b/>
      <x:sz val="10"/>
      <x:color rgb="FFFFFFFF"/>
      <x:name val="Noto Sans CJK SC"/>
    </x:font>
    <x:font>
      <x:b/>
      <x:sz val="12"/>
      <x:color rgb="FFFFFFFF"/>
      <x:name val="Arial"/>
    </x:font>
    <x:font>
      <x:b/>
      <x:sz val="11"/>
      <x:color rgb="FFFFFFFF"/>
      <x:name val="Arial"/>
    </x:font>
    <x:font>
      <x:i/>
      <x:sz val="8"/>
      <x:color rgb="FF808080"/>
      <x:name val="Noto Sans CJK SC"/>
    </x:font>
    <x:font>
      <x:i/>
      <x:sz val="8"/>
      <x:color rgb="FF808080"/>
      <x:name val="Noto Sans CJK SC"/>
    </x:font>
    <x:font>
      <x:i/>
      <x:sz val="8"/>
      <x:color rgb="FF1A1A1A"/>
      <x:name val="Noto Sans CJK SC"/>
    </x:font>
    <x:font>
      <x:b/>
      <x:sz val="13"/>
      <x:color rgb="FFFFFFFF"/>
      <x:name val="Noto Sans CJK SC"/>
    </x:font>
    <x:font>
      <x:i/>
      <x:sz val="9"/>
      <x:color rgb="FFFFFFFF"/>
      <x:name val="Noto Sans CJK SC"/>
    </x:font>
    <x:font>
      <x:sz val="9"/>
      <x:color rgb="FF1A1A1A"/>
      <x:name val="Noto Sans CJK SC"/>
    </x:font>
    <x:font>
      <x:sz val="9"/>
      <x:color rgb="FF1A1A1A"/>
      <x:name val="Arial"/>
    </x:font>
    <x:font>
      <x:b/>
      <x:sz val="8"/>
      <x:color rgb="FF1A1A1A"/>
      <x:name val="Arial"/>
    </x:font>
    <x:font>
      <x:b/>
      <x:sz val="11"/>
      <x:color rgb="FF1A1A1A"/>
      <x:name val="Arial"/>
    </x:font>
    <x:font>
      <x:sz val="10"/>
      <x:color rgb="FF1A1A1A"/>
      <x:name val="Arial"/>
    </x:font>
    <x:font>
      <x:sz val="9"/>
      <x:color rgb="FF1A1A1A"/>
      <x:name val="Noto Sans CJK SC"/>
    </x:font>
    <x:font>
      <x:b/>
      <x:sz val="12"/>
      <x:color rgb="FFFFFFFF"/>
      <x:name val="Noto Sans CJK SC"/>
    </x:font>
    <x:font>
      <x:b/>
      <x:sz val="9"/>
      <x:color rgb="FFFFFFFF"/>
      <x:name val="Noto Sans CJK SC"/>
    </x:font>
    <x:font>
      <x:sz val="9"/>
      <x:color rgb="FF1A1A1A"/>
      <x:name val="Arial"/>
    </x:font>
    <x:font>
      <x:b/>
      <x:sz val="11"/>
      <x:color rgb="FF1F3864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E5496"/>
      </x:patternFill>
    </x:fill>
    <x:fill>
      <x:patternFill patternType="solid">
        <x:fgColor rgb="FFF2F2F2"/>
      </x:patternFill>
    </x:fill>
    <x:fill>
      <x:patternFill patternType="solid">
        <x:fgColor rgb="FFFFF7CC"/>
      </x:patternFill>
    </x:fill>
    <x:fill>
      <x:patternFill patternType="solid">
        <x:fgColor rgb="FFEAF1FB"/>
      </x:patternFill>
    </x:fill>
    <x:fill>
      <x:patternFill patternType="solid">
        <x:fgColor rgb="FFFFFFFF"/>
      </x:patternFill>
    </x:fill>
    <x:fill>
      <x:patternFill patternType="solid">
        <x:fgColor rgb="FFD6E0F0"/>
      </x:patternFill>
    </x:fill>
    <x:fill>
      <x:patternFill patternType="solid">
        <x:fgColor rgb="FFFFFFFF"/>
      </x:patternFill>
    </x:fill>
  </x:fills>
  <x:borders count="6">
    <x:border diagonalUp="0" diagonalDown="0"/>
    <x:border diagonalUp="0" diagonalDown="0"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 diagonalUp="0" diagonalDown="0">
      <x:left style="thin">
        <x:color rgb="FFBFBFBF"/>
      </x:left>
      <x:top style="thin">
        <x:color rgb="FFBFBFBF"/>
      </x:top>
      <x:bottom style="thin">
        <x:color rgb="FFBFBFBF"/>
      </x:bottom>
    </x:border>
    <x:border diagonalUp="0" diagonalDown="0">
      <x:left style="none"/>
      <x:right style="thin">
        <x:color rgb="FFBFBFBF"/>
      </x:right>
      <x:top style="none"/>
      <x:bottom style="none"/>
    </x:border>
    <x:border diagonalUp="0" diagonalDown="0">
      <x:left style="thin">
        <x:color rgb="FFBFBFBF"/>
      </x:left>
      <x:right style="thin">
        <x:color rgb="FFBFBFBF"/>
      </x:right>
      <x:top style="none"/>
      <x:bottom style="none"/>
    </x:border>
    <x:border diagonalUp="0" diagonalDown="0">
      <x:left style="thin">
        <x:color rgb="FFBFBFBF"/>
      </x:left>
      <x:right style="none"/>
      <x:top style="none"/>
      <x:bottom style="none"/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70">
    <x:xf numFmtId="164" fontId="0" fillId="0" borderId="0" xfId="0" applyFont="0" applyBorder="0" applyAlignment="0">
      <x:alignment horizontal="general" vertical="bottom" wrapText="0"/>
    </x:xf>
    <x:xf numFmtId="164" fontId="0" fillId="0" borderId="0" xfId="0" applyFont="0" applyBorder="0" applyAlignment="1">
      <x:alignment horizontal="general" vertical="bottom" wrapText="0"/>
    </x:xf>
    <x:xf numFmtId="164" fontId="4" fillId="2" borderId="0" xfId="0" applyFont="1" applyBorder="1" applyAlignment="1">
      <x:alignment horizontal="center" vertical="center" wrapText="1"/>
    </x:xf>
    <x:xf numFmtId="164" fontId="5" fillId="3" borderId="0" xfId="0" applyFont="1" applyBorder="1" applyAlignment="1">
      <x:alignment horizontal="center" vertical="center" wrapText="1"/>
    </x:xf>
    <x:xf numFmtId="164" fontId="6" fillId="3" borderId="0" xfId="0" applyFont="1" applyBorder="1" applyAlignment="1">
      <x:alignment horizontal="left" vertical="center" wrapText="1"/>
    </x:xf>
    <x:xf numFmtId="164" fontId="7" fillId="4" borderId="1" xfId="0" applyFont="1" applyBorder="1" applyAlignment="1">
      <x:alignment horizontal="left" vertical="center" wrapText="1"/>
    </x:xf>
    <x:xf numFmtId="164" fontId="0" fillId="5" borderId="1" xfId="0" applyFont="0" applyBorder="1" applyAlignment="1">
      <x:alignment horizontal="left" vertical="center" wrapText="1"/>
    </x:xf>
    <x:xf numFmtId="164" fontId="8" fillId="3" borderId="1" xfId="0" applyFont="1" applyBorder="1" applyAlignment="1">
      <x:alignment horizontal="center" vertical="center" wrapText="1"/>
    </x:xf>
    <x:xf numFmtId="164" fontId="9" fillId="3" borderId="1" xfId="0" applyFont="1" applyBorder="1" applyAlignment="1">
      <x:alignment horizontal="center" vertical="center" wrapText="1"/>
    </x:xf>
    <x:xf numFmtId="164" fontId="10" fillId="6" borderId="1" xfId="0" applyFont="1" applyBorder="1" applyAlignment="1">
      <x:alignment horizontal="center" vertical="center" wrapText="1"/>
    </x:xf>
    <x:xf numFmtId="164" fontId="7" fillId="6" borderId="1" xfId="0" applyFont="1" applyBorder="1" applyAlignment="1">
      <x:alignment horizontal="left" vertical="center" wrapText="1"/>
    </x:xf>
    <x:xf numFmtId="164" fontId="11" fillId="6" borderId="1" xfId="0" applyFont="1" applyBorder="1" applyAlignment="1">
      <x:alignment horizontal="left" vertical="center" wrapText="1"/>
    </x:xf>
    <x:xf numFmtId="164" fontId="12" fillId="5" borderId="1" xfId="0" applyFont="1" applyBorder="1" applyAlignment="1">
      <x:alignment horizontal="center" vertical="center" wrapText="1"/>
    </x:xf>
    <x:xf numFmtId="164" fontId="13" fillId="4" borderId="1" xfId="0" applyFont="1" applyBorder="1" applyAlignment="1">
      <x:alignment horizontal="center" vertical="center" wrapText="1"/>
    </x:xf>
    <x:xf numFmtId="164" fontId="14" fillId="5" borderId="1" xfId="0" applyFont="1" applyBorder="1" applyAlignment="1">
      <x:alignment horizontal="left" vertical="center" wrapText="1"/>
    </x:xf>
    <x:xf numFmtId="164" fontId="10" fillId="7" borderId="1" xfId="0" applyFont="1" applyBorder="1" applyAlignment="1">
      <x:alignment horizontal="center" vertical="center" wrapText="1"/>
    </x:xf>
    <x:xf numFmtId="164" fontId="7" fillId="7" borderId="1" xfId="0" applyFont="1" applyBorder="1" applyAlignment="1">
      <x:alignment horizontal="left" vertical="center" wrapText="1"/>
    </x:xf>
    <x:xf numFmtId="164" fontId="11" fillId="7" borderId="1" xfId="0" applyFont="1" applyBorder="1" applyAlignment="1">
      <x:alignment horizontal="left" vertical="center" wrapText="1"/>
    </x:xf>
    <x:xf numFmtId="164" fontId="0" fillId="4" borderId="1" xfId="0" applyFont="0" applyBorder="1" applyAlignment="1">
      <x:alignment horizontal="general" vertical="bottom" wrapText="0"/>
    </x:xf>
    <x:xf numFmtId="164" fontId="7" fillId="4" borderId="1" xfId="0" applyFont="1" applyBorder="1" applyAlignment="1">
      <x:alignment horizontal="right" vertical="center" wrapText="1"/>
    </x:xf>
    <x:xf numFmtId="164" fontId="15" fillId="4" borderId="1" xfId="0" applyFont="1" applyBorder="1" applyAlignment="1">
      <x:alignment horizontal="center" vertical="center" wrapText="1"/>
    </x:xf>
    <x:xf numFmtId="164" fontId="16" fillId="4" borderId="1" xfId="0" applyFont="1" applyBorder="1" applyAlignment="1">
      <x:alignment horizontal="left" vertical="center" wrapText="1"/>
    </x:xf>
    <x:xf numFmtId="164" fontId="0" fillId="3" borderId="1" xfId="0" applyFont="0" applyBorder="1" applyAlignment="1">
      <x:alignment horizontal="general" vertical="bottom" wrapText="0"/>
    </x:xf>
    <x:xf numFmtId="164" fontId="17" fillId="3" borderId="2" xfId="0" applyFont="1" applyBorder="1" applyAlignment="1">
      <x:alignment horizontal="right" vertical="center" wrapText="1"/>
    </x:xf>
    <x:xf numFmtId="164" fontId="18" fillId="3" borderId="1" xfId="0" applyFont="1" applyBorder="1" applyAlignment="1">
      <x:alignment horizontal="center" vertical="center" wrapText="1"/>
    </x:xf>
    <x:xf numFmtId="164" fontId="7" fillId="4" borderId="2" xfId="0" applyFont="1" applyBorder="1" applyAlignment="1">
      <x:alignment horizontal="right" vertical="center" wrapText="1"/>
    </x:xf>
    <x:xf numFmtId="164" fontId="0" fillId="2" borderId="1" xfId="0" applyFont="0" applyBorder="1" applyAlignment="1">
      <x:alignment horizontal="general" vertical="bottom" wrapText="0"/>
    </x:xf>
    <x:xf numFmtId="164" fontId="6" fillId="2" borderId="2" xfId="0" applyFont="1" applyBorder="1" applyAlignment="1">
      <x:alignment horizontal="right" vertical="center" wrapText="1"/>
    </x:xf>
    <x:xf numFmtId="164" fontId="19" fillId="2" borderId="1" xfId="0" applyFont="1" applyBorder="1" applyAlignment="1">
      <x:alignment horizontal="center" vertical="center" wrapText="1"/>
    </x:xf>
    <x:xf numFmtId="164" fontId="20" fillId="5" borderId="1" xfId="0" applyFont="1" applyBorder="1" applyAlignment="1">
      <x:alignment horizontal="left" vertical="center" wrapText="1"/>
    </x:xf>
    <x:xf numFmtId="164" fontId="14" fillId="7" borderId="2" xfId="0" applyFont="1" applyBorder="1" applyAlignment="1">
      <x:alignment horizontal="left" vertical="center" wrapText="1"/>
    </x:xf>
    <x:xf numFmtId="164" fontId="7" fillId="4" borderId="2" xfId="0" applyFont="1" applyBorder="1" applyAlignment="1">
      <x:alignment horizontal="left" vertical="center" wrapText="1"/>
    </x:xf>
    <x:xf numFmtId="164" fontId="21" fillId="7" borderId="1" xfId="0" applyFont="1" applyBorder="1" applyAlignment="1">
      <x:alignment horizontal="left" vertical="center" wrapText="1"/>
    </x:xf>
    <x:xf numFmtId="164" fontId="22" fillId="7" borderId="2" xfId="0" applyFont="1" applyBorder="1" applyAlignment="1">
      <x:alignment horizontal="left" vertical="center" wrapText="1"/>
    </x:xf>
    <x:xf numFmtId="164" fontId="7" fillId="4" borderId="1" xfId="0" applyFont="1" applyBorder="1" applyAlignment="1">
      <x:alignment horizontal="center" vertical="center" wrapText="1"/>
    </x:xf>
    <x:xf numFmtId="164" fontId="0" fillId="7" borderId="1" xfId="0" applyFont="0" applyBorder="1" applyAlignment="1">
      <x:alignment horizontal="general" vertical="bottom" wrapText="0"/>
    </x:xf>
    <x:xf numFmtId="164" fontId="21" fillId="7" borderId="0" xfId="0" applyFont="1" applyBorder="1" applyAlignment="1">
      <x:alignment horizontal="left" vertical="center" wrapText="1"/>
    </x:xf>
    <x:xf numFmtId="164" fontId="23" fillId="2" borderId="0" xfId="0" applyFont="1" applyBorder="1" applyAlignment="1">
      <x:alignment horizontal="center" vertical="center" wrapText="1"/>
    </x:xf>
    <x:xf numFmtId="164" fontId="24" fillId="3" borderId="0" xfId="0" applyFont="1" applyBorder="1" applyAlignment="1">
      <x:alignment horizontal="center" vertical="center" wrapText="1"/>
    </x:xf>
    <x:xf numFmtId="164" fontId="19" fillId="3" borderId="0" xfId="0" applyFont="1" applyBorder="1" applyAlignment="1">
      <x:alignment horizontal="left" vertical="center" wrapText="1"/>
    </x:xf>
    <x:xf numFmtId="164" fontId="25" fillId="7" borderId="0" xfId="0" applyFont="1" applyBorder="1" applyAlignment="1">
      <x:alignment horizontal="left" vertical="top" wrapText="1"/>
    </x:xf>
    <x:xf numFmtId="164" fontId="26" fillId="7" borderId="0" xfId="0" applyFont="1" applyBorder="1" applyAlignment="1">
      <x:alignment horizontal="left" vertical="top" wrapText="1"/>
    </x:xf>
    <x:xf numFmtId="164" fontId="27" fillId="4" borderId="1" xfId="0" applyFont="1" applyBorder="1" applyAlignment="1">
      <x:alignment horizontal="center" vertical="center" wrapText="1"/>
    </x:xf>
    <x:xf numFmtId="164" fontId="11" fillId="4" borderId="1" xfId="0" applyFont="1" applyBorder="1" applyAlignment="1">
      <x:alignment horizontal="left" vertical="center" wrapText="1"/>
    </x:xf>
    <x:xf numFmtId="164" fontId="27" fillId="7" borderId="1" xfId="0" applyFont="1" applyBorder="1" applyAlignment="1">
      <x:alignment horizontal="center" vertical="center" wrapText="1"/>
    </x:xf>
    <x:xf numFmtId="164" fontId="17" fillId="3" borderId="1" xfId="0" applyFont="1" applyBorder="1" applyAlignment="1">
      <x:alignment horizontal="center" vertical="center" wrapText="1"/>
    </x:xf>
    <x:xf numFmtId="164" fontId="9" fillId="3" borderId="1" xfId="0" applyFont="1" applyBorder="1" applyAlignment="1">
      <x:alignment horizontal="left" vertical="center" wrapText="1"/>
    </x:xf>
    <x:xf numFmtId="164" fontId="28" fillId="8" borderId="1" xfId="0" applyFont="1" applyBorder="1" applyAlignment="1">
      <x:alignment horizontal="center" vertical="center" wrapText="1"/>
    </x:xf>
    <x:xf numFmtId="164" fontId="29" fillId="7" borderId="1" xfId="0" applyFont="1" applyBorder="1" applyAlignment="1">
      <x:alignment horizontal="center" vertical="center" wrapText="1"/>
    </x:xf>
    <x:xf numFmtId="164" fontId="30" fillId="7" borderId="1" xfId="0" applyFont="1" applyBorder="1" applyAlignment="1">
      <x:alignment horizontal="left" vertical="center" wrapText="1"/>
    </x:xf>
    <x:xf numFmtId="164" fontId="14" fillId="7" borderId="1" xfId="0" applyFont="1" applyBorder="1" applyAlignment="1">
      <x:alignment horizontal="left" vertical="center" wrapText="1"/>
    </x:xf>
    <x:xf numFmtId="164" fontId="31" fillId="2" borderId="0" xfId="0" applyFont="1" applyBorder="1" applyAlignment="1">
      <x:alignment horizontal="center" vertical="center" wrapText="1"/>
    </x:xf>
    <x:xf numFmtId="164" fontId="32" fillId="3" borderId="1" xfId="0" applyFont="1" applyBorder="1" applyAlignment="1">
      <x:alignment horizontal="center" vertical="center" wrapText="1"/>
    </x:xf>
    <x:xf numFmtId="164" fontId="33" fillId="6" borderId="1" xfId="0" applyFont="1" applyBorder="1" applyAlignment="1">
      <x:alignment horizontal="left" vertical="center" wrapText="1"/>
    </x:xf>
    <x:xf numFmtId="164" fontId="14" fillId="6" borderId="1" xfId="0" applyFont="1" applyBorder="1" applyAlignment="1">
      <x:alignment horizontal="left" vertical="center" wrapText="1"/>
    </x:xf>
    <x:xf numFmtId="164" fontId="34" fillId="6" borderId="1" xfId="0" applyFont="1" applyBorder="1" applyAlignment="1">
      <x:alignment horizontal="center" vertical="center" wrapText="1"/>
    </x:xf>
    <x:xf numFmtId="164" fontId="33" fillId="7" borderId="1" xfId="0" applyFont="1" applyBorder="1" applyAlignment="1">
      <x:alignment horizontal="left" vertical="center" wrapText="1"/>
    </x:xf>
    <x:xf numFmtId="164" fontId="34" fillId="7" borderId="1" xfId="0" applyFont="1" applyBorder="1" applyAlignment="1">
      <x:alignment horizontal="center" vertical="center" wrapText="1"/>
    </x:xf>
    <x:xf numFmtId="164" fontId="10" fillId="9" borderId="1" xfId="0" applyNumberFormat="1" applyFont="1" applyFill="1" applyBorder="1" applyAlignment="1">
      <x:alignment horizontal="center" vertical="center" wrapText="1"/>
    </x:xf>
    <x:xf numFmtId="164" fontId="7" fillId="9" borderId="1" xfId="0" applyNumberFormat="1" applyFont="1" applyFill="1" applyBorder="1" applyAlignment="1">
      <x:alignment horizontal="left" vertical="center" wrapText="1"/>
    </x:xf>
    <x:xf numFmtId="164" fontId="11" fillId="9" borderId="1" xfId="0" applyNumberFormat="1" applyFont="1" applyFill="1" applyBorder="1" applyAlignment="1">
      <x:alignment horizontal="left" vertical="center" wrapText="1"/>
    </x:xf>
    <x:xf numFmtId="164" fontId="12" fillId="9" borderId="1" xfId="0" applyNumberFormat="1" applyFont="1" applyFill="1" applyBorder="1" applyAlignment="1">
      <x:alignment horizontal="center" vertical="center" wrapText="1"/>
    </x:xf>
    <x:xf numFmtId="164" fontId="13" fillId="9" borderId="1" xfId="0" applyNumberFormat="1" applyFont="1" applyFill="1" applyBorder="1" applyAlignment="1">
      <x:alignment horizontal="center" vertical="center" wrapText="1"/>
    </x:xf>
    <x:xf numFmtId="164" fontId="14" fillId="9" borderId="1" xfId="0" applyNumberFormat="1" applyFont="1" applyFill="1" applyBorder="1" applyAlignment="1">
      <x:alignment horizontal="left" vertical="center" wrapText="1"/>
    </x:xf>
    <x:xf numFmtId="164" fontId="10" fillId="9" borderId="3" xfId="0" applyNumberFormat="1" applyFont="1" applyFill="1" applyBorder="1" applyAlignment="1">
      <x:alignment horizontal="center" vertical="center" wrapText="1"/>
    </x:xf>
    <x:xf numFmtId="164" fontId="7" fillId="9" borderId="4" xfId="0" applyNumberFormat="1" applyFont="1" applyFill="1" applyBorder="1" applyAlignment="1">
      <x:alignment horizontal="left" vertical="center" wrapText="1"/>
    </x:xf>
    <x:xf numFmtId="164" fontId="11" fillId="9" borderId="4" xfId="0" applyNumberFormat="1" applyFont="1" applyFill="1" applyBorder="1" applyAlignment="1">
      <x:alignment horizontal="left" vertical="center" wrapText="1"/>
    </x:xf>
    <x:xf numFmtId="164" fontId="12" fillId="9" borderId="4" xfId="0" applyNumberFormat="1" applyFont="1" applyFill="1" applyBorder="1" applyAlignment="1">
      <x:alignment horizontal="center" vertical="center" wrapText="1"/>
    </x:xf>
    <x:xf numFmtId="164" fontId="13" fillId="9" borderId="4" xfId="0" applyNumberFormat="1" applyFont="1" applyFill="1" applyBorder="1" applyAlignment="1">
      <x:alignment horizontal="center" vertical="center" wrapText="1"/>
    </x:xf>
    <x:xf numFmtId="164" fontId="14" fillId="9" borderId="5" xfId="0" applyNumberFormat="1" applyFont="1" applyFill="1" applyBorder="1" applyAlignment="1">
      <x:alignment horizontal="left" vertical="center" wrapText="1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colors>
    <x:indexedColors>
      <x:rgbColor rgb="FF000000"/>
      <x:rgbColor rgb="FFFFFFFF"/>
      <x:rgbColor rgb="FFC0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FF7CC"/>
      <x:rgbColor rgb="FFEAF1FB"/>
      <x:rgbColor rgb="FF660066"/>
      <x:rgbColor rgb="FFFF8080"/>
      <x:rgbColor rgb="FF0066CC"/>
      <x:rgbColor rgb="FFD6E0F0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F2F2F2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1F3864"/>
      <x:rgbColor rgb="FF339966"/>
      <x:rgbColor rgb="FF003300"/>
      <x:rgbColor rgb="FF333300"/>
      <x:rgbColor rgb="FF993300"/>
      <x:rgbColor rgb="FF993366"/>
      <x:rgbColor rgb="FF2E5496"/>
      <x:rgbColor rgb="FF1A1A1A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ca989ad6de4d96" /><Relationship Type="http://schemas.openxmlformats.org/officeDocument/2006/relationships/theme" Target="/xl/theme/theme1.xml" Id="R8442e46d02124a10" /><Relationship Type="http://schemas.openxmlformats.org/officeDocument/2006/relationships/sharedStrings" Target="/xl/sharedStrings.xml" Id="Red5be043d42c4d9a" /><Relationship Type="http://schemas.openxmlformats.org/officeDocument/2006/relationships/worksheet" Target="/xl/worksheets/sheet1.xml" Id="R86424e91ae074334" /><Relationship Type="http://schemas.openxmlformats.org/officeDocument/2006/relationships/worksheet" Target="/xl/worksheets/sheet2.xml" Id="R145244e6d3654aa9" /><Relationship Type="http://schemas.openxmlformats.org/officeDocument/2006/relationships/worksheet" Target="/xl/worksheets/sheet3.xml" Id="R8794624fa9e44cbc" /><Relationship Type="http://schemas.openxmlformats.org/officeDocument/2006/relationships/worksheet" Target="/xl/worksheets/sheet4.xml" Id="R1692af2d5fae457c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6.5"/>
  <x:cols>
    <x:col min="1" max="1" width="4" style="1" hidden="0" customWidth="1"/>
    <x:col min="2" max="2" width="26" style="1" hidden="0" customWidth="1"/>
    <x:col min="3" max="3" width="40" style="1" hidden="0" customWidth="1"/>
    <x:col min="4" max="5" width="9" style="1" hidden="0" customWidth="1"/>
    <x:col min="6" max="6" width="10" style="1" hidden="0" customWidth="1"/>
    <x:col min="7" max="7" width="11" style="1" hidden="0" customWidth="1"/>
    <x:col min="8" max="8" width="30" style="1" hidden="0" customWidth="1"/>
  </x:cols>
  <x:sheetData>
    <x:row r="1" ht="36" hidden="0" customHeight="1">
      <x:c r="A1" s="2" t="s">
        <x:v>0</x:v>
      </x:c>
      <x:c r="B1" s="2"/>
      <x:c r="C1" s="2"/>
      <x:c r="D1" s="2"/>
      <x:c r="E1" s="2"/>
      <x:c r="F1" s="2"/>
      <x:c r="G1" s="2"/>
      <x:c r="H1" s="2"/>
    </x:row>
    <x:row r="2" ht="25.5" hidden="0" customHeight="1">
      <x:c r="A2" s="3" t="s">
        <x:v>1</x:v>
      </x:c>
      <x:c r="B2" s="3"/>
      <x:c r="C2" s="3"/>
      <x:c r="D2" s="3"/>
      <x:c r="E2" s="3"/>
      <x:c r="F2" s="3"/>
      <x:c r="G2" s="3"/>
      <x:c r="H2" s="3"/>
    </x:row>
    <x:row r="4" ht="19.5" hidden="0" customHeight="1">
      <x:c r="A4" s="4" t="s">
        <x:v>2</x:v>
      </x:c>
      <x:c r="B4" s="4"/>
      <x:c r="C4" s="4"/>
      <x:c r="D4" s="4"/>
      <x:c r="E4" s="4"/>
      <x:c r="F4" s="4"/>
      <x:c r="G4" s="4"/>
      <x:c r="H4" s="4"/>
    </x:row>
    <x:row r="5" ht="25.5" hidden="0" customHeight="1">
      <x:c r="A5" s="5" t="s">
        <x:v>3</x:v>
      </x:c>
      <x:c r="B5" s="5"/>
      <x:c r="C5" s="6"/>
      <x:c r="D5" s="5" t="s">
        <x:v>4</x:v>
      </x:c>
      <x:c r="E5" s="5"/>
      <x:c r="F5" s="5"/>
      <x:c r="G5" s="6"/>
      <x:c r="H5" s="6"/>
    </x:row>
    <x:row r="6" ht="25.5" hidden="0" customHeight="1">
      <x:c r="A6" s="5" t="s">
        <x:v>5</x:v>
      </x:c>
      <x:c r="B6" s="5"/>
      <x:c r="C6" s="6"/>
      <x:c r="D6" s="5" t="s">
        <x:v>6</x:v>
      </x:c>
      <x:c r="E6" s="5"/>
      <x:c r="F6" s="5"/>
      <x:c r="G6" s="6"/>
      <x:c r="H6" s="6"/>
    </x:row>
    <x:row r="7" ht="25.5" hidden="0" customHeight="1">
      <x:c r="A7" s="5" t="s">
        <x:v>7</x:v>
      </x:c>
      <x:c r="B7" s="5"/>
      <x:c r="C7" s="6"/>
      <x:c r="D7" s="5" t="s">
        <x:v>8</x:v>
      </x:c>
      <x:c r="E7" s="5"/>
      <x:c r="F7" s="5"/>
      <x:c r="G7" s="6"/>
      <x:c r="H7" s="6"/>
    </x:row>
    <x:row r="8" ht="25.5" hidden="0" customHeight="1">
      <x:c r="A8" s="5" t="s">
        <x:v>9</x:v>
      </x:c>
      <x:c r="B8" s="5"/>
      <x:c r="C8" s="6"/>
      <x:c r="D8" s="5" t="s">
        <x:v>10</x:v>
      </x:c>
      <x:c r="E8" s="5"/>
      <x:c r="F8" s="5"/>
      <x:c r="G8" s="6"/>
      <x:c r="H8" s="6"/>
    </x:row>
    <x:row r="9" ht="19.5" hidden="0" customHeight="1">
      <x:c r="A9" s="4" t="s">
        <x:v>11</x:v>
      </x:c>
      <x:c r="B9" s="4"/>
      <x:c r="C9" s="4"/>
      <x:c r="D9" s="4"/>
      <x:c r="E9" s="4"/>
      <x:c r="F9" s="4"/>
      <x:c r="G9" s="4"/>
      <x:c r="H9" s="4"/>
    </x:row>
    <x:row r="10" ht="30" hidden="0" customHeight="1">
      <x:c r="A10" s="7" t="s">
        <x:v>12</x:v>
      </x:c>
      <x:c r="B10" s="8" t="s">
        <x:v>13</x:v>
      </x:c>
      <x:c r="C10" s="8" t="s">
        <x:v>14</x:v>
      </x:c>
      <x:c r="D10" s="8" t="s">
        <x:v>15</x:v>
      </x:c>
      <x:c r="E10" s="8" t="s">
        <x:v>16</x:v>
      </x:c>
      <x:c r="F10" s="8" t="s">
        <x:v>17</x:v>
      </x:c>
      <x:c r="G10" s="8" t="s">
        <x:v>18</x:v>
      </x:c>
      <x:c r="H10" s="8" t="s">
        <x:v>19</x:v>
      </x:c>
    </x:row>
    <x:row r="11" ht="40.5" hidden="0" customHeight="1">
      <x:c r="A11" s="9" t="n">
        <x:v>1</x:v>
      </x:c>
      <x:c r="B11" s="10" t="str">
        <x:v>Performance &amp; goal achievement</x:v>
      </x:c>
      <x:c r="C11" s="11" t="str">
        <x:v>Completion and results of key tasks/goals (see department KPI library)</x:v>
      </x:c>
      <x:c r="D11" s="12" t="n">
        <x:v>30</x:v>
      </x:c>
      <x:c r="E11" s="12"/>
      <x:c r="F11" s="12"/>
      <x:c r="G11" s="13" t="str">
        <x:f aca="0">IF($F11="","",ROUND($D11*$F11/100,1))</x:f>
      </x:c>
      <x:c r="H11" s="14"/>
    </x:row>
    <x:row r="12" ht="40.5" hidden="0" customHeight="1">
      <x:c r="A12" s="15" t="n">
        <x:v>2</x:v>
      </x:c>
      <x:c r="B12" s="16" t="str">
        <x:v>Cultural alignment, communication &amp; collaboration</x:v>
      </x:c>
      <x:c r="C12" s="17" t="str">
        <x:v>Identification with company culture, communication &amp; collaboration, knowledge sharing</x:v>
      </x:c>
      <x:c r="D12" s="12" t="n">
        <x:v>30</x:v>
      </x:c>
      <x:c r="E12" s="12"/>
      <x:c r="F12" s="12"/>
      <x:c r="G12" s="13" t="str">
        <x:f aca="0">IF($F12="","",ROUND($D12*$F12/100,1))</x:f>
      </x:c>
      <x:c r="H12" s="14"/>
    </x:row>
    <x:row r="13" ht="40.5" hidden="0" customHeight="1">
      <x:c r="A13" s="15" t="n">
        <x:v>3</x:v>
      </x:c>
      <x:c r="B13" s="16" t="str">
        <x:v>Work quality &amp; professional competence</x:v>
      </x:c>
      <x:c r="C13" s="17" t="str">
        <x:v>Technical depth, solution quality, defects/rework, documentation</x:v>
      </x:c>
      <x:c r="D13" s="12" t="n">
        <x:v>20</x:v>
      </x:c>
      <x:c r="E13" s="12"/>
      <x:c r="F13" s="12"/>
      <x:c r="G13" s="13" t="str">
        <x:f aca="0">IF($F13="","",ROUND($D13*$F13/100,1))</x:f>
      </x:c>
      <x:c r="H13" s="14"/>
    </x:row>
    <x:row r="14" ht="40.5" hidden="0" customHeight="1">
      <x:c r="A14" s="15" t="n">
        <x:v>4</x:v>
      </x:c>
      <x:c r="B14" s="16" t="str">
        <x:v>Compliance, safety &amp; data protection</x:v>
      </x:c>
      <x:c r="C14" s="17" t="str">
        <x:v>Process/regulatory compliance, functional &amp; test safety, GDPR &amp; information security</x:v>
      </x:c>
      <x:c r="D14" s="12" t="n">
        <x:v>10</x:v>
      </x:c>
      <x:c r="E14" s="12"/>
      <x:c r="F14" s="12"/>
      <x:c r="G14" s="13" t="str">
        <x:f aca="0">IF($F14="","",ROUND($D14*$F14/100,1))</x:f>
      </x:c>
      <x:c r="H14" s="14"/>
    </x:row>
    <x:row r="15" ht="40.5" hidden="0" customHeight="1">
      <x:c r="A15" s="15" t="n">
        <x:v>5</x:v>
      </x:c>
      <x:c r="B15" s="16" t="str">
        <x:v>Innovation &amp; continuous improvement</x:v>
      </x:c>
      <x:c r="C15" s="17" t="str">
        <x:v>Improvement proposals, reuse, efficiency gains, patents &amp; methods</x:v>
      </x:c>
      <x:c r="D15" s="12" t="n">
        <x:v>10</x:v>
      </x:c>
      <x:c r="E15" s="12"/>
      <x:c r="F15" s="12"/>
      <x:c r="G15" s="13" t="str">
        <x:f aca="0">IF($F15="","",ROUND($D15*$F15/100,1))</x:f>
      </x:c>
      <x:c r="H15" s="14"/>
    </x:row>
    <x:row r="16" ht="5" hidden="0" customHeight="1">
      <x:c r="A16" s="64"/>
      <x:c r="B16" s="65"/>
      <x:c r="C16" s="66"/>
      <x:c r="D16" s="67"/>
      <x:c r="E16" s="67"/>
      <x:c r="F16" s="67"/>
      <x:c r="G16" s="68">
        <x:f aca="0"/>
      </x:c>
      <x:c r="H16" s="69"/>
    </x:row>
    <x:row r="17" ht="21.75" hidden="0" customHeight="1">
      <x:c r="A17" s="18"/>
      <x:c r="B17" s="19" t="s">
        <x:v>20</x:v>
      </x:c>
      <x:c r="C17" s="19"/>
      <x:c r="D17" s="20" t="n">
        <x:f aca="0">SUM(D11:D15)</x:f>
        <x:v>100</x:v>
      </x:c>
      <x:c r="E17" s="18"/>
      <x:c r="F17" s="18"/>
      <x:c r="G17" s="18"/>
      <x:c r="H17" s="21" t="s">
        <x:v>21</x:v>
      </x:c>
    </x:row>
    <x:row r="18" ht="24" hidden="0" customHeight="1">
      <x:c r="A18" s="22"/>
      <x:c r="B18" s="23" t="s">
        <x:v>22</x:v>
      </x:c>
      <x:c r="C18" s="23"/>
      <x:c r="D18" s="23"/>
      <x:c r="E18" s="23"/>
      <x:c r="F18" s="23"/>
      <x:c r="G18" s="24" t="str">
        <x:f aca="0">IF(COUNT(F11:F15)&lt;5,"",ROUND(SUM(G11:G15),1))</x:f>
      </x:c>
      <x:c r="H18" s="22"/>
    </x:row>
    <x:row r="19" ht="19.5" hidden="0" customHeight="1">
      <x:c r="A19" s="18"/>
      <x:c r="B19" s="25" t="s">
        <x:v>23</x:v>
      </x:c>
      <x:c r="C19" s="25"/>
      <x:c r="D19" s="25"/>
      <x:c r="E19" s="25"/>
      <x:c r="F19" s="25"/>
      <x:c r="G19" s="13" t="str">
        <x:f aca="0">IF(COUNT(E11:E15)&lt;5,"",ROUND(SUMPRODUCT(D11:D15,E11:E15)/100,1))</x:f>
      </x:c>
      <x:c r="H19" s="18"/>
    </x:row>
    <x:row r="20" ht="25.5" hidden="0" customHeight="1">
      <x:c r="A20" s="26"/>
      <x:c r="B20" s="27" t="s">
        <x:v>24</x:v>
      </x:c>
      <x:c r="C20" s="27"/>
      <x:c r="D20" s="27"/>
      <x:c r="E20" s="27"/>
      <x:c r="F20" s="27"/>
      <x:c r="G20" s="28" t="str">
        <x:f aca="0">IF(G18="","",IF(G18&gt;=90,"A Excellent",IF(G18&gt;=80,"B Good",IF(G18&gt;=60,"C Competent",IF(G18&gt;=40,"D Needs improvement","E Unsatisfactory"))))&amp;" · "&amp;ROUND(G18/20,2)&amp;"/5")</x:f>
      </x:c>
      <x:c r="H20" s="28"/>
    </x:row>
    <x:row r="22" ht="19.5" hidden="0" customHeight="1">
      <x:c r="A22" s="4" t="s">
        <x:v>25</x:v>
      </x:c>
      <x:c r="B22" s="4"/>
      <x:c r="C22" s="4"/>
      <x:c r="D22" s="4"/>
      <x:c r="E22" s="4"/>
      <x:c r="F22" s="4"/>
      <x:c r="G22" s="4"/>
      <x:c r="H22" s="4"/>
    </x:row>
    <x:row r="23" ht="45.75" hidden="0" customHeight="1">
      <x:c r="A23" s="5" t="s">
        <x:v>26</x:v>
      </x:c>
      <x:c r="B23" s="5"/>
      <x:c r="C23" s="29" t="s">
        <x:v>27</x:v>
      </x:c>
      <x:c r="D23" s="29"/>
      <x:c r="E23" s="29"/>
      <x:c r="F23" s="29"/>
      <x:c r="G23" s="29"/>
      <x:c r="H23" s="29"/>
    </x:row>
    <x:row r="24" ht="45.75" hidden="0" customHeight="1">
      <x:c r="A24" s="5" t="s">
        <x:v>28</x:v>
      </x:c>
      <x:c r="B24" s="5"/>
      <x:c r="C24" s="29" t="s">
        <x:v>29</x:v>
      </x:c>
      <x:c r="D24" s="29"/>
      <x:c r="E24" s="29"/>
      <x:c r="F24" s="29"/>
      <x:c r="G24" s="29"/>
      <x:c r="H24" s="29"/>
    </x:row>
    <x:row r="25" ht="45.75" hidden="0" customHeight="1">
      <x:c r="A25" s="5" t="s">
        <x:v>30</x:v>
      </x:c>
      <x:c r="B25" s="5"/>
      <x:c r="C25" s="29" t="s">
        <x:v>31</x:v>
      </x:c>
      <x:c r="D25" s="29"/>
      <x:c r="E25" s="29"/>
      <x:c r="F25" s="29"/>
      <x:c r="G25" s="29"/>
      <x:c r="H25" s="29"/>
    </x:row>
    <x:row r="27" ht="19.5" hidden="0" customHeight="1">
      <x:c r="A27" s="4" t="s">
        <x:v>32</x:v>
      </x:c>
      <x:c r="B27" s="4"/>
      <x:c r="C27" s="4"/>
      <x:c r="D27" s="4"/>
      <x:c r="E27" s="4"/>
      <x:c r="F27" s="4"/>
      <x:c r="G27" s="4"/>
      <x:c r="H27" s="4"/>
    </x:row>
    <x:row r="28" ht="49.5" hidden="0" customHeight="1">
      <x:c r="A28" s="30" t="s">
        <x:v>33</x:v>
      </x:c>
      <x:c r="B28" s="30"/>
      <x:c r="C28" s="30"/>
      <x:c r="D28" s="30"/>
      <x:c r="E28" s="30"/>
      <x:c r="F28" s="30"/>
      <x:c r="G28" s="30"/>
      <x:c r="H28" s="30"/>
    </x:row>
    <x:row r="29" ht="21.75" hidden="0" customHeight="1">
      <x:c r="A29" s="31" t="s">
        <x:v>34</x:v>
      </x:c>
      <x:c r="B29" s="31"/>
      <x:c r="C29" s="13" t="str">
        <x:f aca="0">IF(G18="","",IF(G18&lt;60,"Yes — prepare an improvement plan","No"))</x:f>
      </x:c>
      <x:c r="D29" s="32" t="s">
        <x:v>35</x:v>
      </x:c>
      <x:c r="E29" s="32"/>
      <x:c r="F29" s="32"/>
      <x:c r="G29" s="32"/>
      <x:c r="H29" s="32"/>
    </x:row>
    <x:row r="31" ht="19.5" hidden="0" customHeight="1">
      <x:c r="A31" s="4" t="s">
        <x:v>36</x:v>
      </x:c>
      <x:c r="B31" s="4"/>
      <x:c r="C31" s="4"/>
      <x:c r="D31" s="4"/>
      <x:c r="E31" s="4"/>
      <x:c r="F31" s="4"/>
      <x:c r="G31" s="4"/>
      <x:c r="H31" s="4"/>
    </x:row>
    <x:row r="32" ht="31.5" hidden="0" customHeight="1">
      <x:c r="A32" s="33" t="s">
        <x:v>37</x:v>
      </x:c>
      <x:c r="B32" s="33"/>
      <x:c r="C32" s="33"/>
      <x:c r="D32" s="33"/>
      <x:c r="E32" s="33"/>
      <x:c r="F32" s="33"/>
      <x:c r="G32" s="33"/>
      <x:c r="H32" s="33"/>
    </x:row>
    <x:row r="33" ht="18" hidden="0" customHeight="1">
      <x:c r="A33" s="34" t="s">
        <x:v>38</x:v>
      </x:c>
      <x:c r="B33" s="34"/>
      <x:c r="C33" s="34"/>
      <x:c r="D33" s="34" t="s">
        <x:v>6</x:v>
      </x:c>
      <x:c r="E33" s="34"/>
      <x:c r="F33" s="34"/>
      <x:c r="G33" s="34" t="s">
        <x:v>39</x:v>
      </x:c>
      <x:c r="H33" s="34"/>
    </x:row>
    <x:row r="34" ht="33.75" hidden="0" customHeight="1">
      <x:c r="A34" s="35"/>
      <x:c r="B34" s="35"/>
      <x:c r="C34" s="35"/>
      <x:c r="D34" s="35"/>
      <x:c r="E34" s="35"/>
      <x:c r="F34" s="35"/>
      <x:c r="G34" s="35"/>
      <x:c r="H34" s="35"/>
    </x:row>
    <x:row r="35" ht="18" hidden="0" customHeight="1">
      <x:c r="A35" s="17" t="s">
        <x:v>40</x:v>
      </x:c>
      <x:c r="B35" s="17"/>
      <x:c r="C35" s="17"/>
      <x:c r="D35" s="17" t="s">
        <x:v>40</x:v>
      </x:c>
      <x:c r="E35" s="17"/>
      <x:c r="F35" s="17"/>
      <x:c r="G35" s="17" t="s">
        <x:v>40</x:v>
      </x:c>
      <x:c r="H35" s="17"/>
    </x:row>
    <x:row r="37" ht="25.5" hidden="0" customHeight="1">
      <x:c r="A37" s="36" t="s">
        <x:v>41</x:v>
      </x:c>
      <x:c r="B37" s="36"/>
      <x:c r="C37" s="36"/>
      <x:c r="D37" s="36"/>
      <x:c r="E37" s="36"/>
      <x:c r="F37" s="36"/>
      <x:c r="G37" s="36"/>
      <x:c r="H37" s="36"/>
    </x:row>
  </x:sheetData>
  <x:mergeCells>
    <x:mergeCell ref="A1:H1"/>
    <x:mergeCell ref="A2:H2"/>
    <x:mergeCell ref="A4:H4"/>
    <x:mergeCell ref="A5:B5"/>
    <x:mergeCell ref="D5:F5"/>
    <x:mergeCell ref="G5:H5"/>
    <x:mergeCell ref="A6:B6"/>
    <x:mergeCell ref="D6:F6"/>
    <x:mergeCell ref="G6:H6"/>
    <x:mergeCell ref="A7:B7"/>
    <x:mergeCell ref="D7:F7"/>
    <x:mergeCell ref="G7:H7"/>
    <x:mergeCell ref="A8:B8"/>
    <x:mergeCell ref="D8:F8"/>
    <x:mergeCell ref="G8:H8"/>
    <x:mergeCell ref="A9:H9"/>
    <x:mergeCell ref="B17:C17"/>
    <x:mergeCell ref="B18:F18"/>
    <x:mergeCell ref="B19:F19"/>
    <x:mergeCell ref="B20:F20"/>
    <x:mergeCell ref="G20:H20"/>
    <x:mergeCell ref="A22:H22"/>
    <x:mergeCell ref="A23:B23"/>
    <x:mergeCell ref="C23:H23"/>
    <x:mergeCell ref="A24:B24"/>
    <x:mergeCell ref="C24:H24"/>
    <x:mergeCell ref="A25:B25"/>
    <x:mergeCell ref="C25:H25"/>
    <x:mergeCell ref="A27:H27"/>
    <x:mergeCell ref="A28:H28"/>
    <x:mergeCell ref="A29:B29"/>
    <x:mergeCell ref="D29:H29"/>
    <x:mergeCell ref="A31:H31"/>
    <x:mergeCell ref="A32:H32"/>
    <x:mergeCell ref="A33:C33"/>
    <x:mergeCell ref="D33:F33"/>
    <x:mergeCell ref="G33:H33"/>
    <x:mergeCell ref="A34:C34"/>
    <x:mergeCell ref="D34:F34"/>
    <x:mergeCell ref="G34:H34"/>
    <x:mergeCell ref="A35:C35"/>
    <x:mergeCell ref="D35:F35"/>
    <x:mergeCell ref="G35:H35"/>
    <x:mergeCell ref="A37:H37"/>
  </x:mergeCells>
  <x:dataValidations count="1">
    <x:dataValidation type="whole" errorStyle="stop" operator="between" allowBlank="1" showDropDown="0" showInputMessage="1" showErrorMessage="1" errorTitle="Out of range" error="Enter a whole number between 1 and 100." promptTitle="Score 1–100" prompt="A≥90 B≥80 C≥60 D≥40 E&lt;40" sqref="E11:F16">
      <x:formula1>1</x:formula1>
      <x:formula2>100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6.5"/>
  <x:cols>
    <x:col min="1" max="1" width="3" style="1" hidden="0" customWidth="1"/>
    <x:col min="2" max="4" width="30" style="1" hidden="0" customWidth="1"/>
    <x:col min="5" max="5" width="18" style="1" hidden="0" customWidth="1"/>
  </x:cols>
  <x:sheetData>
    <x:row r="1" ht="45.75" hidden="0" customHeight="1">
      <x:c r="A1" s="37" t="s">
        <x:v>42</x:v>
      </x:c>
      <x:c r="B1" s="37"/>
      <x:c r="C1" s="37"/>
      <x:c r="D1" s="37"/>
      <x:c r="E1" s="37"/>
    </x:row>
    <x:row r="2" ht="30" hidden="0" customHeight="1">
      <x:c r="A2" s="38" t="s">
        <x:v>43</x:v>
      </x:c>
      <x:c r="B2" s="38"/>
      <x:c r="C2" s="38"/>
      <x:c r="D2" s="38"/>
      <x:c r="E2" s="38"/>
    </x:row>
    <x:row r="4" ht="21.75" hidden="0" customHeight="1">
      <x:c r="A4" s="39" t="s">
        <x:v>44</x:v>
      </x:c>
      <x:c r="B4" s="39"/>
      <x:c r="C4" s="39"/>
      <x:c r="D4" s="39"/>
      <x:c r="E4" s="39"/>
    </x:row>
    <x:row r="5" ht="57" hidden="0" customHeight="1">
      <x:c r="A5" s="40" t="s">
        <x:v>45</x:v>
      </x:c>
      <x:c r="B5" s="40"/>
      <x:c r="C5" s="40"/>
      <x:c r="D5" s="40"/>
      <x:c r="E5" s="40"/>
    </x:row>
    <x:row r="7" ht="21.75" hidden="0" customHeight="1">
      <x:c r="A7" s="39" t="s">
        <x:v>46</x:v>
      </x:c>
      <x:c r="B7" s="39"/>
      <x:c r="C7" s="39"/>
      <x:c r="D7" s="39"/>
      <x:c r="E7" s="39"/>
    </x:row>
    <x:row r="8" ht="237" hidden="0" customHeight="1">
      <x:c r="A8" s="40" t="s">
        <x:v>47</x:v>
      </x:c>
      <x:c r="B8" s="40"/>
      <x:c r="C8" s="40"/>
      <x:c r="D8" s="40"/>
      <x:c r="E8" s="40"/>
    </x:row>
    <x:row r="10" ht="21.75" hidden="0" customHeight="1">
      <x:c r="A10" s="39" t="s">
        <x:v>48</x:v>
      </x:c>
      <x:c r="B10" s="39"/>
      <x:c r="C10" s="39"/>
      <x:c r="D10" s="39"/>
      <x:c r="E10" s="39"/>
    </x:row>
    <x:row r="11" ht="117" hidden="0" customHeight="1">
      <x:c r="A11" s="40" t="str">
        <x:v>Five common dimensions apply to all employees. Each dimension is scored 1–100; weights total 100% (default weights are provided; departments may fine-tune them by role, provided they total 100% and are communicated in advance). Weighted total = Σ(weight × score) ÷ 100, out of 100; converted score = total ÷ 20 (1–5 scale), with ratings A≥90, B≥80, C≥60, D≥40, E&lt;40. Recommended sequence: self-assessment, then manager evaluation, then calibration for consistency.</x:v>
      </x:c>
      <x:c r="B11" s="40"/>
      <x:c r="C11" s="40"/>
      <x:c r="D11" s="40"/>
      <x:c r="E11" s="40"/>
    </x:row>
    <x:row r="13" ht="21.75" hidden="0" customHeight="1">
      <x:c r="A13" s="39" t="s">
        <x:v>49</x:v>
      </x:c>
      <x:c r="B13" s="39"/>
      <x:c r="C13" s="39"/>
      <x:c r="D13" s="39"/>
      <x:c r="E13" s="39"/>
    </x:row>
    <x:row r="14" ht="87" hidden="0" customHeight="1">
      <x:c r="A14" s="40" t="s">
        <x:v>50</x:v>
      </x:c>
      <x:c r="B14" s="40"/>
      <x:c r="C14" s="40"/>
      <x:c r="D14" s="40"/>
      <x:c r="E14" s="40"/>
    </x:row>
    <x:row r="16" ht="21.75" hidden="0" customHeight="1">
      <x:c r="A16" s="39" t="s">
        <x:v>51</x:v>
      </x:c>
      <x:c r="B16" s="39"/>
      <x:c r="C16" s="39"/>
      <x:c r="D16" s="39"/>
      <x:c r="E16" s="39"/>
    </x:row>
    <x:row r="17" ht="132" hidden="0" customHeight="1">
      <x:c r="A17" s="41" t="s">
        <x:v>52</x:v>
      </x:c>
      <x:c r="B17" s="41"/>
      <x:c r="C17" s="41"/>
      <x:c r="D17" s="41"/>
      <x:c r="E17" s="41"/>
    </x:row>
    <x:row r="19" ht="21.75" hidden="0" customHeight="1">
      <x:c r="A19" s="39" t="s">
        <x:v>53</x:v>
      </x:c>
      <x:c r="B19" s="39"/>
      <x:c r="C19" s="39"/>
      <x:c r="D19" s="39"/>
      <x:c r="E19" s="39"/>
    </x:row>
    <x:row r="20" ht="57" hidden="0" customHeight="1">
      <x:c r="A20" s="40" t="s">
        <x:v>54</x:v>
      </x:c>
      <x:c r="B20" s="40"/>
      <x:c r="C20" s="40"/>
      <x:c r="D20" s="40"/>
      <x:c r="E20" s="40"/>
    </x:row>
  </x:sheetData>
  <x:mergeCells>
    <x:mergeCell ref="A1:E1"/>
    <x:mergeCell ref="A2:E2"/>
    <x:mergeCell ref="A4:E4"/>
    <x:mergeCell ref="A5:E5"/>
    <x:mergeCell ref="A7:E7"/>
    <x:mergeCell ref="A8:E8"/>
    <x:mergeCell ref="A10:E10"/>
    <x:mergeCell ref="A11:E11"/>
    <x:mergeCell ref="A13:E13"/>
    <x:mergeCell ref="A14:E14"/>
    <x:mergeCell ref="A16:E16"/>
    <x:mergeCell ref="A17:E17"/>
    <x:mergeCell ref="A19:E19"/>
    <x:mergeCell ref="A20:E2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6.5"/>
  <x:cols>
    <x:col min="1" max="1" width="22" style="1" hidden="0" customWidth="1"/>
    <x:col min="2" max="6" width="16" style="1" hidden="0" customWidth="1"/>
  </x:cols>
  <x:sheetData>
    <x:row r="1" ht="31.5" hidden="0" customHeight="1">
      <x:c r="A1" s="37" t="s">
        <x:v>55</x:v>
      </x:c>
      <x:c r="B1" s="37"/>
      <x:c r="C1" s="37"/>
      <x:c r="D1" s="37"/>
      <x:c r="E1" s="37"/>
      <x:c r="F1" s="37"/>
    </x:row>
    <x:row r="2" ht="27.75" hidden="0" customHeight="1">
      <x:c r="A2" s="3" t="s">
        <x:v>56</x:v>
      </x:c>
      <x:c r="B2" s="3"/>
      <x:c r="C2" s="3"/>
      <x:c r="D2" s="3"/>
      <x:c r="E2" s="3"/>
      <x:c r="F2" s="3"/>
    </x:row>
    <x:row r="4" ht="24" hidden="0" customHeight="1">
      <x:c r="A4" s="8" t="s">
        <x:v>57</x:v>
      </x:c>
      <x:c r="B4" s="8" t="s">
        <x:v>8</x:v>
      </x:c>
      <x:c r="C4" s="8" t="s">
        <x:v>58</x:v>
      </x:c>
      <x:c r="D4" s="8" t="s">
        <x:v>59</x:v>
      </x:c>
      <x:c r="E4" s="8" t="s">
        <x:v>60</x:v>
      </x:c>
      <x:c r="F4" s="8" t="s">
        <x:v>61</x:v>
      </x:c>
    </x:row>
    <x:row r="5" ht="45.75" hidden="0" customHeight="1">
      <x:c r="A5" s="42" t="s">
        <x:v>62</x:v>
      </x:c>
      <x:c r="B5" s="43" t="s">
        <x:v>63</x:v>
      </x:c>
      <x:c r="C5" s="43" t="s">
        <x:v>64</x:v>
      </x:c>
      <x:c r="D5" s="43" t="s">
        <x:v>65</x:v>
      </x:c>
      <x:c r="E5" s="43" t="s">
        <x:v>66</x:v>
      </x:c>
      <x:c r="F5" s="43" t="s">
        <x:v>67</x:v>
      </x:c>
    </x:row>
    <x:row r="6" ht="45.75" hidden="0" customHeight="1">
      <x:c r="A6" s="44" t="s">
        <x:v>68</x:v>
      </x:c>
      <x:c r="B6" s="17" t="s">
        <x:v>69</x:v>
      </x:c>
      <x:c r="C6" s="17" t="s">
        <x:v>70</x:v>
      </x:c>
      <x:c r="D6" s="17" t="s">
        <x:v>71</x:v>
      </x:c>
      <x:c r="E6" s="17" t="s">
        <x:v>72</x:v>
      </x:c>
      <x:c r="F6" s="17" t="s">
        <x:v>73</x:v>
      </x:c>
    </x:row>
    <x:row r="7" ht="45.75" hidden="0" customHeight="1">
      <x:c r="A7" s="42" t="s">
        <x:v>74</x:v>
      </x:c>
      <x:c r="B7" s="43" t="s">
        <x:v>75</x:v>
      </x:c>
      <x:c r="C7" s="43" t="s">
        <x:v>76</x:v>
      </x:c>
      <x:c r="D7" s="43" t="s">
        <x:v>77</x:v>
      </x:c>
      <x:c r="E7" s="43" t="s">
        <x:v>78</x:v>
      </x:c>
      <x:c r="F7" s="43" t="s">
        <x:v>79</x:v>
      </x:c>
    </x:row>
    <x:row r="8" ht="45.75" hidden="0" customHeight="1">
      <x:c r="A8" s="44" t="s">
        <x:v>80</x:v>
      </x:c>
      <x:c r="B8" s="17" t="s">
        <x:v>81</x:v>
      </x:c>
      <x:c r="C8" s="17" t="s">
        <x:v>82</x:v>
      </x:c>
      <x:c r="D8" s="17" t="s">
        <x:v>83</x:v>
      </x:c>
      <x:c r="E8" s="17" t="s">
        <x:v>84</x:v>
      </x:c>
      <x:c r="F8" s="17" t="s">
        <x:v>85</x:v>
      </x:c>
    </x:row>
    <x:row r="9" ht="45.75" hidden="0" customHeight="1">
      <x:c r="A9" s="42" t="s">
        <x:v>86</x:v>
      </x:c>
      <x:c r="B9" s="43" t="s">
        <x:v>87</x:v>
      </x:c>
      <x:c r="C9" s="43" t="s">
        <x:v>88</x:v>
      </x:c>
      <x:c r="D9" s="43" t="s">
        <x:v>89</x:v>
      </x:c>
      <x:c r="E9" s="43" t="s">
        <x:v>90</x:v>
      </x:c>
      <x:c r="F9" s="43" t="s">
        <x:v>91</x:v>
      </x:c>
    </x:row>
    <x:row r="11" ht="19.5" hidden="0" customHeight="1">
      <x:c r="A11" s="4" t="s">
        <x:v>92</x:v>
      </x:c>
      <x:c r="B11" s="4"/>
      <x:c r="C11" s="4"/>
      <x:c r="D11" s="4"/>
      <x:c r="E11" s="4"/>
      <x:c r="F11" s="4"/>
    </x:row>
    <x:row r="12" ht="21.75" hidden="0" customHeight="1">
      <x:c r="A12" s="45" t="s">
        <x:v>24</x:v>
      </x:c>
      <x:c r="B12" s="8" t="s">
        <x:v>93</x:v>
      </x:c>
      <x:c r="C12" s="46" t="s">
        <x:v>94</x:v>
      </x:c>
      <x:c r="D12" s="46"/>
      <x:c r="E12" s="46" t="s">
        <x:v>95</x:v>
      </x:c>
      <x:c r="F12" s="46"/>
    </x:row>
    <x:row r="13" ht="27.75" hidden="0" customHeight="1">
      <x:c r="A13" s="47" t="s">
        <x:v>96</x:v>
      </x:c>
      <x:c r="B13" s="48" t="s">
        <x:v>97</x:v>
      </x:c>
      <x:c r="C13" s="49" t="s">
        <x:v>63</x:v>
      </x:c>
      <x:c r="D13" s="49"/>
      <x:c r="E13" s="17" t="s">
        <x:v>98</x:v>
      </x:c>
      <x:c r="F13" s="17"/>
    </x:row>
    <x:row r="14" ht="27.75" hidden="0" customHeight="1">
      <x:c r="A14" s="47" t="s">
        <x:v>99</x:v>
      </x:c>
      <x:c r="B14" s="48" t="s">
        <x:v>100</x:v>
      </x:c>
      <x:c r="C14" s="49" t="s">
        <x:v>69</x:v>
      </x:c>
      <x:c r="D14" s="49"/>
      <x:c r="E14" s="17" t="s">
        <x:v>101</x:v>
      </x:c>
      <x:c r="F14" s="17"/>
    </x:row>
    <x:row r="15" ht="27.75" hidden="0" customHeight="1">
      <x:c r="A15" s="47" t="s">
        <x:v>102</x:v>
      </x:c>
      <x:c r="B15" s="48" t="s">
        <x:v>103</x:v>
      </x:c>
      <x:c r="C15" s="49" t="s">
        <x:v>75</x:v>
      </x:c>
      <x:c r="D15" s="49"/>
      <x:c r="E15" s="17" t="s">
        <x:v>104</x:v>
      </x:c>
      <x:c r="F15" s="17"/>
    </x:row>
    <x:row r="16" ht="27.75" hidden="0" customHeight="1">
      <x:c r="A16" s="47" t="s">
        <x:v>105</x:v>
      </x:c>
      <x:c r="B16" s="48" t="s">
        <x:v>106</x:v>
      </x:c>
      <x:c r="C16" s="49" t="s">
        <x:v>81</x:v>
      </x:c>
      <x:c r="D16" s="49"/>
      <x:c r="E16" s="17" t="s">
        <x:v>107</x:v>
      </x:c>
      <x:c r="F16" s="17"/>
    </x:row>
    <x:row r="17" ht="27.75" hidden="0" customHeight="1">
      <x:c r="A17" s="47" t="s">
        <x:v>108</x:v>
      </x:c>
      <x:c r="B17" s="48" t="s">
        <x:v>109</x:v>
      </x:c>
      <x:c r="C17" s="49" t="s">
        <x:v>87</x:v>
      </x:c>
      <x:c r="D17" s="49"/>
      <x:c r="E17" s="50" t="s">
        <x:v>110</x:v>
      </x:c>
      <x:c r="F17" s="50"/>
    </x:row>
  </x:sheetData>
  <x:mergeCells>
    <x:mergeCell ref="A1:F1"/>
    <x:mergeCell ref="A2:F2"/>
    <x:mergeCell ref="A11:F11"/>
    <x:mergeCell ref="C12:D12"/>
    <x:mergeCell ref="E12:F12"/>
    <x:mergeCell ref="C13:D13"/>
    <x:mergeCell ref="E13:F13"/>
    <x:mergeCell ref="C14:D14"/>
    <x:mergeCell ref="E14:F14"/>
    <x:mergeCell ref="C15:D15"/>
    <x:mergeCell ref="E15:F15"/>
    <x:mergeCell ref="C16:D16"/>
    <x:mergeCell ref="E16:F16"/>
    <x:mergeCell ref="C17:D17"/>
    <x:mergeCell ref="E17:F1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6.5"/>
  <x:cols>
    <x:col min="1" max="3" width="20" style="1" hidden="0" customWidth="1"/>
    <x:col min="4" max="5" width="7" style="1" hidden="0" customWidth="1"/>
    <x:col min="6" max="6" width="8" style="1" hidden="0" customWidth="1"/>
    <x:col min="7" max="7" width="18" style="1" hidden="0" customWidth="1"/>
  </x:cols>
  <x:sheetData>
    <x:row r="1" ht="31.5" hidden="0" customHeight="1">
      <x:c r="A1" s="51" t="s">
        <x:v>111</x:v>
      </x:c>
      <x:c r="B1" s="51"/>
      <x:c r="C1" s="51"/>
      <x:c r="D1" s="51"/>
      <x:c r="E1" s="51"/>
    </x:row>
    <x:row r="2" ht="27.75" hidden="0" customHeight="1">
      <x:c r="A2" s="3" t="s">
        <x:v>112</x:v>
      </x:c>
      <x:c r="B2" s="3"/>
      <x:c r="C2" s="3"/>
      <x:c r="D2" s="3"/>
      <x:c r="E2" s="3"/>
    </x:row>
    <x:row r="3" ht="30" hidden="0" customHeight="1">
      <x:c r="A3" s="8" t="s">
        <x:v>7</x:v>
      </x:c>
      <x:c r="B3" s="7" t="s">
        <x:v>113</x:v>
      </x:c>
      <x:c r="C3" s="7" t="s">
        <x:v>114</x:v>
      </x:c>
      <x:c r="D3" s="8" t="s">
        <x:v>115</x:v>
      </x:c>
      <x:c r="E3" s="8" t="s">
        <x:v>116</x:v>
      </x:c>
    </x:row>
    <x:row r="4" ht="30" hidden="0" customHeight="1">
      <x:c r="A4" s="52" t="s">
        <x:v>117</x:v>
      </x:c>
      <x:c r="B4" s="53" t="s">
        <x:v>118</x:v>
      </x:c>
      <x:c r="C4" s="54" t="s">
        <x:v>119</x:v>
      </x:c>
      <x:c r="D4" s="55" t="s">
        <x:v>120</x:v>
      </x:c>
      <x:c r="E4" s="54" t="s">
        <x:v>121</x:v>
      </x:c>
    </x:row>
    <x:row r="5" ht="30" hidden="0" customHeight="1">
      <x:c r="A5" s="52"/>
      <x:c r="B5" s="53" t="s">
        <x:v>122</x:v>
      </x:c>
      <x:c r="C5" s="54" t="s">
        <x:v>123</x:v>
      </x:c>
      <x:c r="D5" s="55" t="s">
        <x:v>120</x:v>
      </x:c>
      <x:c r="E5" s="11" t="s">
        <x:v>124</x:v>
      </x:c>
    </x:row>
    <x:row r="6" ht="30" hidden="0" customHeight="1">
      <x:c r="A6" s="52"/>
      <x:c r="B6" s="53" t="s">
        <x:v>125</x:v>
      </x:c>
      <x:c r="C6" s="54" t="s">
        <x:v>126</x:v>
      </x:c>
      <x:c r="D6" s="55" t="s">
        <x:v>120</x:v>
      </x:c>
      <x:c r="E6" s="11" t="s">
        <x:v>127</x:v>
      </x:c>
    </x:row>
    <x:row r="7" ht="30" hidden="0" customHeight="1">
      <x:c r="A7" s="52"/>
      <x:c r="B7" s="53" t="s">
        <x:v>128</x:v>
      </x:c>
      <x:c r="C7" s="54" t="s">
        <x:v>129</x:v>
      </x:c>
      <x:c r="D7" s="55" t="s">
        <x:v>120</x:v>
      </x:c>
      <x:c r="E7" s="11" t="s">
        <x:v>130</x:v>
      </x:c>
    </x:row>
    <x:row r="8" ht="30" hidden="0" customHeight="1">
      <x:c r="A8" s="52"/>
      <x:c r="B8" s="53" t="s">
        <x:v>131</x:v>
      </x:c>
      <x:c r="C8" s="54" t="s">
        <x:v>132</x:v>
      </x:c>
      <x:c r="D8" s="55" t="s">
        <x:v>133</x:v>
      </x:c>
      <x:c r="E8" s="54" t="s">
        <x:v>134</x:v>
      </x:c>
    </x:row>
    <x:row r="9" ht="30" hidden="0" customHeight="1">
      <x:c r="A9" s="52" t="s">
        <x:v>135</x:v>
      </x:c>
      <x:c r="B9" s="56" t="s">
        <x:v>136</x:v>
      </x:c>
      <x:c r="C9" s="50" t="s">
        <x:v>137</x:v>
      </x:c>
      <x:c r="D9" s="57" t="s">
        <x:v>120</x:v>
      </x:c>
      <x:c r="E9" s="17" t="s">
        <x:v>138</x:v>
      </x:c>
    </x:row>
    <x:row r="10" ht="30" hidden="0" customHeight="1">
      <x:c r="A10" s="52"/>
      <x:c r="B10" s="56" t="s">
        <x:v>139</x:v>
      </x:c>
      <x:c r="C10" s="50" t="s">
        <x:v>140</x:v>
      </x:c>
      <x:c r="D10" s="57" t="s">
        <x:v>133</x:v>
      </x:c>
      <x:c r="E10" s="17" t="s">
        <x:v>141</x:v>
      </x:c>
    </x:row>
    <x:row r="11" ht="30" hidden="0" customHeight="1">
      <x:c r="A11" s="52"/>
      <x:c r="B11" s="56" t="s">
        <x:v>142</x:v>
      </x:c>
      <x:c r="C11" s="50" t="s">
        <x:v>143</x:v>
      </x:c>
      <x:c r="D11" s="57" t="s">
        <x:v>120</x:v>
      </x:c>
      <x:c r="E11" s="17" t="s">
        <x:v>127</x:v>
      </x:c>
    </x:row>
    <x:row r="12" ht="30" hidden="0" customHeight="1">
      <x:c r="A12" s="52"/>
      <x:c r="B12" s="56" t="s">
        <x:v>144</x:v>
      </x:c>
      <x:c r="C12" s="50" t="s">
        <x:v>145</x:v>
      </x:c>
      <x:c r="D12" s="57" t="s">
        <x:v>120</x:v>
      </x:c>
      <x:c r="E12" s="17" t="s">
        <x:v>146</x:v>
      </x:c>
    </x:row>
    <x:row r="13" ht="30" hidden="0" customHeight="1">
      <x:c r="A13" s="52"/>
      <x:c r="B13" s="56" t="s">
        <x:v>147</x:v>
      </x:c>
      <x:c r="C13" s="50" t="s">
        <x:v>148</x:v>
      </x:c>
      <x:c r="D13" s="57" t="s">
        <x:v>120</x:v>
      </x:c>
      <x:c r="E13" s="17" t="s">
        <x:v>149</x:v>
      </x:c>
    </x:row>
    <x:row r="14" ht="30" hidden="0" customHeight="1">
      <x:c r="A14" s="52" t="s">
        <x:v>150</x:v>
      </x:c>
      <x:c r="B14" s="53" t="s">
        <x:v>151</x:v>
      </x:c>
      <x:c r="C14" s="54" t="s">
        <x:v>152</x:v>
      </x:c>
      <x:c r="D14" s="55" t="s">
        <x:v>120</x:v>
      </x:c>
      <x:c r="E14" s="11" t="s">
        <x:v>127</x:v>
      </x:c>
    </x:row>
    <x:row r="15" ht="30" hidden="0" customHeight="1">
      <x:c r="A15" s="52"/>
      <x:c r="B15" s="53" t="s">
        <x:v>153</x:v>
      </x:c>
      <x:c r="C15" s="54" t="s">
        <x:v>154</x:v>
      </x:c>
      <x:c r="D15" s="55" t="s">
        <x:v>133</x:v>
      </x:c>
      <x:c r="E15" s="54" t="s">
        <x:v>155</x:v>
      </x:c>
    </x:row>
    <x:row r="16" ht="30" hidden="0" customHeight="1">
      <x:c r="A16" s="52"/>
      <x:c r="B16" s="53" t="s">
        <x:v>156</x:v>
      </x:c>
      <x:c r="C16" s="54" t="s">
        <x:v>157</x:v>
      </x:c>
      <x:c r="D16" s="55" t="s">
        <x:v>120</x:v>
      </x:c>
      <x:c r="E16" s="11" t="s">
        <x:v>158</x:v>
      </x:c>
    </x:row>
    <x:row r="17" ht="30" hidden="0" customHeight="1">
      <x:c r="A17" s="52"/>
      <x:c r="B17" s="53" t="s">
        <x:v>159</x:v>
      </x:c>
      <x:c r="C17" s="54" t="s">
        <x:v>160</x:v>
      </x:c>
      <x:c r="D17" s="55" t="s">
        <x:v>120</x:v>
      </x:c>
      <x:c r="E17" s="11" t="s">
        <x:v>127</x:v>
      </x:c>
    </x:row>
    <x:row r="18" ht="30" hidden="0" customHeight="1">
      <x:c r="A18" s="52"/>
      <x:c r="B18" s="53" t="s">
        <x:v>161</x:v>
      </x:c>
      <x:c r="C18" s="54" t="s">
        <x:v>162</x:v>
      </x:c>
      <x:c r="D18" s="55" t="s">
        <x:v>120</x:v>
      </x:c>
      <x:c r="E18" s="11" t="s">
        <x:v>163</x:v>
      </x:c>
    </x:row>
    <x:row r="19" ht="30" hidden="0" customHeight="1">
      <x:c r="A19" s="52" t="s">
        <x:v>164</x:v>
      </x:c>
      <x:c r="B19" s="56" t="s">
        <x:v>165</x:v>
      </x:c>
      <x:c r="C19" s="50" t="s">
        <x:v>166</x:v>
      </x:c>
      <x:c r="D19" s="57" t="s">
        <x:v>120</x:v>
      </x:c>
      <x:c r="E19" s="17" t="s">
        <x:v>167</x:v>
      </x:c>
    </x:row>
    <x:row r="20" ht="30" hidden="0" customHeight="1">
      <x:c r="A20" s="52"/>
      <x:c r="B20" s="56" t="s">
        <x:v>168</x:v>
      </x:c>
      <x:c r="C20" s="50" t="s">
        <x:v>169</x:v>
      </x:c>
      <x:c r="D20" s="57" t="s">
        <x:v>120</x:v>
      </x:c>
      <x:c r="E20" s="17" t="s">
        <x:v>170</x:v>
      </x:c>
    </x:row>
    <x:row r="21" ht="30" hidden="0" customHeight="1">
      <x:c r="A21" s="52"/>
      <x:c r="B21" s="56" t="s">
        <x:v>171</x:v>
      </x:c>
      <x:c r="C21" s="50" t="s">
        <x:v>172</x:v>
      </x:c>
      <x:c r="D21" s="57" t="s">
        <x:v>120</x:v>
      </x:c>
      <x:c r="E21" s="17" t="s">
        <x:v>173</x:v>
      </x:c>
    </x:row>
    <x:row r="22" ht="30" hidden="0" customHeight="1">
      <x:c r="A22" s="52"/>
      <x:c r="B22" s="56" t="s">
        <x:v>174</x:v>
      </x:c>
      <x:c r="C22" s="50" t="s">
        <x:v>175</x:v>
      </x:c>
      <x:c r="D22" s="57" t="s">
        <x:v>120</x:v>
      </x:c>
      <x:c r="E22" s="17" t="s">
        <x:v>176</x:v>
      </x:c>
    </x:row>
    <x:row r="23" ht="30" hidden="0" customHeight="1">
      <x:c r="A23" s="52"/>
      <x:c r="B23" s="56" t="s">
        <x:v>177</x:v>
      </x:c>
      <x:c r="C23" s="50" t="s">
        <x:v>178</x:v>
      </x:c>
      <x:c r="D23" s="57" t="s">
        <x:v>133</x:v>
      </x:c>
      <x:c r="E23" s="50" t="s">
        <x:v>179</x:v>
      </x:c>
    </x:row>
    <x:row r="24" ht="30" hidden="0" customHeight="1">
      <x:c r="A24" s="52" t="s">
        <x:v>180</x:v>
      </x:c>
      <x:c r="B24" s="53" t="s">
        <x:v>181</x:v>
      </x:c>
      <x:c r="C24" s="54" t="s">
        <x:v>182</x:v>
      </x:c>
      <x:c r="D24" s="55" t="s">
        <x:v>120</x:v>
      </x:c>
      <x:c r="E24" s="11" t="s">
        <x:v>183</x:v>
      </x:c>
    </x:row>
    <x:row r="25" ht="30" hidden="0" customHeight="1">
      <x:c r="A25" s="52"/>
      <x:c r="B25" s="53" t="s">
        <x:v>184</x:v>
      </x:c>
      <x:c r="C25" s="54" t="s">
        <x:v>185</x:v>
      </x:c>
      <x:c r="D25" s="55" t="s">
        <x:v>120</x:v>
      </x:c>
      <x:c r="E25" s="11" t="s">
        <x:v>167</x:v>
      </x:c>
    </x:row>
    <x:row r="26" ht="30" hidden="0" customHeight="1">
      <x:c r="A26" s="52"/>
      <x:c r="B26" s="53" t="s">
        <x:v>186</x:v>
      </x:c>
      <x:c r="C26" s="54" t="s">
        <x:v>187</x:v>
      </x:c>
      <x:c r="D26" s="55" t="s">
        <x:v>120</x:v>
      </x:c>
      <x:c r="E26" s="11" t="s">
        <x:v>127</x:v>
      </x:c>
    </x:row>
    <x:row r="27" ht="30" hidden="0" customHeight="1">
      <x:c r="A27" s="52"/>
      <x:c r="B27" s="53" t="s">
        <x:v>188</x:v>
      </x:c>
      <x:c r="C27" s="54" t="s">
        <x:v>189</x:v>
      </x:c>
      <x:c r="D27" s="55" t="s">
        <x:v>133</x:v>
      </x:c>
      <x:c r="E27" s="54" t="s">
        <x:v>190</x:v>
      </x:c>
    </x:row>
    <x:row r="28" ht="30" hidden="0" customHeight="1">
      <x:c r="A28" s="52"/>
      <x:c r="B28" s="53" t="s">
        <x:v>191</x:v>
      </x:c>
      <x:c r="C28" s="54" t="s">
        <x:v>192</x:v>
      </x:c>
      <x:c r="D28" s="55" t="s">
        <x:v>120</x:v>
      </x:c>
      <x:c r="E28" s="54" t="s">
        <x:v>193</x:v>
      </x:c>
    </x:row>
    <x:row r="29" ht="30" hidden="0" customHeight="1">
      <x:c r="A29" s="52" t="s">
        <x:v>194</x:v>
      </x:c>
      <x:c r="B29" s="56" t="s">
        <x:v>195</x:v>
      </x:c>
      <x:c r="C29" s="50" t="s">
        <x:v>196</x:v>
      </x:c>
      <x:c r="D29" s="57" t="s">
        <x:v>120</x:v>
      </x:c>
      <x:c r="E29" s="50" t="s">
        <x:v>197</x:v>
      </x:c>
    </x:row>
    <x:row r="30" ht="30" hidden="0" customHeight="1">
      <x:c r="A30" s="52"/>
      <x:c r="B30" s="56" t="s">
        <x:v>198</x:v>
      </x:c>
      <x:c r="C30" s="50" t="s">
        <x:v>199</x:v>
      </x:c>
      <x:c r="D30" s="57" t="s">
        <x:v>133</x:v>
      </x:c>
      <x:c r="E30" s="17" t="s">
        <x:v>200</x:v>
      </x:c>
    </x:row>
    <x:row r="31" ht="30" hidden="0" customHeight="1">
      <x:c r="A31" s="52"/>
      <x:c r="B31" s="56" t="s">
        <x:v>201</x:v>
      </x:c>
      <x:c r="C31" s="50" t="s">
        <x:v>202</x:v>
      </x:c>
      <x:c r="D31" s="57" t="s">
        <x:v>120</x:v>
      </x:c>
      <x:c r="E31" s="17" t="s">
        <x:v>203</x:v>
      </x:c>
    </x:row>
    <x:row r="32" ht="30" hidden="0" customHeight="1">
      <x:c r="A32" s="52"/>
      <x:c r="B32" s="56" t="s">
        <x:v>204</x:v>
      </x:c>
      <x:c r="C32" s="50" t="s">
        <x:v>205</x:v>
      </x:c>
      <x:c r="D32" s="57" t="s">
        <x:v>120</x:v>
      </x:c>
      <x:c r="E32" s="17" t="s">
        <x:v>206</x:v>
      </x:c>
    </x:row>
    <x:row r="33" ht="30" hidden="0" customHeight="1">
      <x:c r="A33" s="52"/>
      <x:c r="B33" s="56" t="s">
        <x:v>207</x:v>
      </x:c>
      <x:c r="C33" s="50" t="s">
        <x:v>208</x:v>
      </x:c>
      <x:c r="D33" s="57" t="s">
        <x:v>120</x:v>
      </x:c>
      <x:c r="E33" s="17" t="s">
        <x:v>209</x:v>
      </x:c>
    </x:row>
    <x:row r="34" ht="30" hidden="0" customHeight="1">
      <x:c r="A34" s="52" t="s">
        <x:v>210</x:v>
      </x:c>
      <x:c r="B34" s="53" t="s">
        <x:v>211</x:v>
      </x:c>
      <x:c r="C34" s="54" t="s">
        <x:v>212</x:v>
      </x:c>
      <x:c r="D34" s="55" t="s">
        <x:v>120</x:v>
      </x:c>
      <x:c r="E34" s="11" t="s">
        <x:v>127</x:v>
      </x:c>
    </x:row>
    <x:row r="35" ht="30" hidden="0" customHeight="1">
      <x:c r="A35" s="52"/>
      <x:c r="B35" s="53" t="s">
        <x:v>213</x:v>
      </x:c>
      <x:c r="C35" s="54" t="s">
        <x:v>214</x:v>
      </x:c>
      <x:c r="D35" s="55" t="s">
        <x:v>120</x:v>
      </x:c>
      <x:c r="E35" s="11" t="s">
        <x:v>215</x:v>
      </x:c>
    </x:row>
    <x:row r="36" ht="30" hidden="0" customHeight="1">
      <x:c r="A36" s="52"/>
      <x:c r="B36" s="53" t="s">
        <x:v>216</x:v>
      </x:c>
      <x:c r="C36" s="54" t="s">
        <x:v>217</x:v>
      </x:c>
      <x:c r="D36" s="55" t="s">
        <x:v>120</x:v>
      </x:c>
      <x:c r="E36" s="11" t="s">
        <x:v>218</x:v>
      </x:c>
    </x:row>
    <x:row r="37" ht="30" hidden="0" customHeight="1">
      <x:c r="A37" s="52"/>
      <x:c r="B37" s="53" t="s">
        <x:v>219</x:v>
      </x:c>
      <x:c r="C37" s="54" t="s">
        <x:v>220</x:v>
      </x:c>
      <x:c r="D37" s="55" t="s">
        <x:v>120</x:v>
      </x:c>
      <x:c r="E37" s="11" t="s">
        <x:v>221</x:v>
      </x:c>
    </x:row>
    <x:row r="38" ht="30" hidden="0" customHeight="1">
      <x:c r="A38" s="52"/>
      <x:c r="B38" s="53" t="s">
        <x:v>222</x:v>
      </x:c>
      <x:c r="C38" s="54" t="s">
        <x:v>223</x:v>
      </x:c>
      <x:c r="D38" s="55" t="s">
        <x:v>120</x:v>
      </x:c>
      <x:c r="E38" s="11" t="s">
        <x:v>224</x:v>
      </x:c>
    </x:row>
  </x:sheetData>
  <x:mergeCells>
    <x:mergeCell ref="A1:E1"/>
    <x:mergeCell ref="A2:E2"/>
    <x:mergeCell ref="A4:A8"/>
    <x:mergeCell ref="A9:A13"/>
    <x:mergeCell ref="A14:A18"/>
    <x:mergeCell ref="A19:A23"/>
    <x:mergeCell ref="A24:A28"/>
    <x:mergeCell ref="A29:A33"/>
    <x:mergeCell ref="A34:A38"/>
  </x:mergeCells>
  <x:pageMargins left="0.7" right="0.7" top="0.75" bottom="0.75" header="0.3" footer="0.3"/>
</x:worksheet>
</file>